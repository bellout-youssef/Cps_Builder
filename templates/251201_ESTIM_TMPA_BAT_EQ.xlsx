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225" documentId="13_ncr:1_{A1A61A6E-D577-4EDE-9042-EAAD76F8B5F5}" xr6:coauthVersionLast="47" xr6:coauthVersionMax="47" xr10:uidLastSave="{0F10B4F7-DF71-43A9-A4CE-6205DFC53482}"/>
  <bookViews>
    <workbookView xWindow="-120" yWindow="-120" windowWidth="29040" windowHeight="17520" xr2:uid="{452105B2-BEEE-41BE-8824-C161A46CF697}"/>
  </bookViews>
  <sheets>
    <sheet name="RECAP" sheetId="25" r:id="rId1"/>
  </sheets>
  <definedNames>
    <definedName name="_Toc209086480" localSheetId="0">RECAP!$B$150</definedName>
    <definedName name="_Toc209086516" localSheetId="0">RECAP!$B$194</definedName>
    <definedName name="_Toc209446675" localSheetId="0">RECAP!$B$108</definedName>
    <definedName name="_Toc214978691" localSheetId="0">RECAP!#REF!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5" l="1"/>
  <c r="I46" i="25"/>
  <c r="D110" i="25"/>
  <c r="D109" i="25"/>
  <c r="D41" i="25" l="1"/>
  <c r="D40" i="25"/>
  <c r="F96" i="25" l="1"/>
  <c r="F80" i="25" l="1"/>
  <c r="F84" i="25"/>
  <c r="F151" i="25"/>
  <c r="F150" i="25"/>
  <c r="F67" i="25" l="1"/>
  <c r="F39" i="25" l="1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38" i="25"/>
  <c r="F165" i="25" l="1"/>
  <c r="F166" i="25" l="1"/>
  <c r="F253" i="25" l="1"/>
  <c r="F254" i="25"/>
  <c r="F255" i="25"/>
  <c r="F256" i="25"/>
  <c r="F257" i="25"/>
  <c r="F258" i="25"/>
  <c r="F259" i="25"/>
  <c r="F260" i="25"/>
  <c r="F261" i="25"/>
  <c r="F262" i="25"/>
  <c r="F263" i="25"/>
  <c r="F264" i="25"/>
  <c r="F265" i="25"/>
  <c r="F266" i="25"/>
  <c r="F267" i="25"/>
  <c r="F268" i="25"/>
  <c r="F269" i="25"/>
  <c r="F270" i="25"/>
  <c r="F271" i="25"/>
  <c r="F272" i="25" l="1"/>
  <c r="F115" i="25" l="1"/>
  <c r="F232" i="25" l="1"/>
  <c r="F234" i="25"/>
  <c r="F235" i="25"/>
  <c r="F237" i="25"/>
  <c r="F241" i="25"/>
  <c r="F228" i="25"/>
  <c r="F229" i="25" l="1"/>
  <c r="F230" i="25"/>
  <c r="F231" i="25"/>
  <c r="F233" i="25"/>
  <c r="F236" i="25"/>
  <c r="F238" i="25"/>
  <c r="F239" i="25"/>
  <c r="F240" i="25"/>
  <c r="F242" i="25"/>
  <c r="F243" i="25"/>
  <c r="F227" i="25"/>
  <c r="F223" i="25"/>
  <c r="F224" i="25"/>
  <c r="F217" i="25"/>
  <c r="F218" i="25"/>
  <c r="F216" i="25"/>
  <c r="F142" i="25"/>
  <c r="F244" i="25" l="1"/>
  <c r="F219" i="25"/>
  <c r="F225" i="25"/>
  <c r="F83" i="25"/>
  <c r="F97" i="25"/>
  <c r="F98" i="25"/>
  <c r="F99" i="25"/>
  <c r="F100" i="25"/>
  <c r="F106" i="25"/>
  <c r="F109" i="25"/>
  <c r="F110" i="25"/>
  <c r="F245" i="25" l="1"/>
  <c r="F70" i="25"/>
  <c r="C23" i="25" l="1"/>
  <c r="F92" i="25" l="1"/>
  <c r="F86" i="25"/>
  <c r="F79" i="25"/>
  <c r="F66" i="25"/>
  <c r="F65" i="25"/>
  <c r="F64" i="25"/>
  <c r="F63" i="25"/>
  <c r="F68" i="25" l="1"/>
  <c r="C16" i="25" s="1"/>
  <c r="F202" i="25" l="1"/>
  <c r="F155" i="25"/>
  <c r="F156" i="25"/>
  <c r="F157" i="25"/>
  <c r="F158" i="25"/>
  <c r="F159" i="25"/>
  <c r="F160" i="25"/>
  <c r="F195" i="25"/>
  <c r="F196" i="25"/>
  <c r="F197" i="25"/>
  <c r="F198" i="25"/>
  <c r="F199" i="25"/>
  <c r="F200" i="25"/>
  <c r="F171" i="25" l="1"/>
  <c r="F173" i="25"/>
  <c r="F175" i="25"/>
  <c r="F176" i="25"/>
  <c r="F177" i="25"/>
  <c r="F178" i="25"/>
  <c r="F179" i="25"/>
  <c r="F180" i="25"/>
  <c r="F181" i="25"/>
  <c r="F182" i="25"/>
  <c r="F183" i="25"/>
  <c r="F184" i="25"/>
  <c r="F185" i="25"/>
  <c r="F186" i="25"/>
  <c r="F187" i="25"/>
  <c r="F188" i="25"/>
  <c r="F189" i="25"/>
  <c r="F191" i="25"/>
  <c r="F192" i="25"/>
  <c r="F203" i="25"/>
  <c r="F205" i="25"/>
  <c r="F206" i="25"/>
  <c r="F207" i="25"/>
  <c r="F208" i="25"/>
  <c r="F209" i="25"/>
  <c r="F211" i="25"/>
  <c r="F212" i="25"/>
  <c r="F170" i="25"/>
  <c r="F213" i="25" l="1"/>
  <c r="F249" i="25"/>
  <c r="F250" i="25"/>
  <c r="F251" i="25"/>
  <c r="F134" i="25"/>
  <c r="F135" i="25"/>
  <c r="F138" i="25"/>
  <c r="F139" i="25"/>
  <c r="F140" i="25"/>
  <c r="F141" i="25"/>
  <c r="F143" i="25"/>
  <c r="F144" i="25"/>
  <c r="F145" i="25"/>
  <c r="F147" i="25"/>
  <c r="F148" i="25"/>
  <c r="F149" i="25"/>
  <c r="F152" i="25"/>
  <c r="F153" i="25"/>
  <c r="F161" i="25"/>
  <c r="F252" i="25" l="1"/>
  <c r="F273" i="25" s="1"/>
  <c r="F220" i="25"/>
  <c r="F127" i="25"/>
  <c r="F128" i="25"/>
  <c r="F129" i="25"/>
  <c r="F126" i="25"/>
  <c r="F116" i="25"/>
  <c r="F117" i="25"/>
  <c r="F118" i="25"/>
  <c r="F119" i="25"/>
  <c r="F121" i="25"/>
  <c r="F123" i="25"/>
  <c r="F114" i="25"/>
  <c r="F122" i="25"/>
  <c r="F88" i="25"/>
  <c r="F89" i="25"/>
  <c r="F91" i="25"/>
  <c r="F94" i="25"/>
  <c r="F95" i="25"/>
  <c r="F103" i="25"/>
  <c r="F104" i="25"/>
  <c r="F105" i="25"/>
  <c r="F78" i="25"/>
  <c r="F71" i="25"/>
  <c r="F124" i="25" l="1"/>
  <c r="C19" i="25" s="1"/>
  <c r="C22" i="25"/>
  <c r="F130" i="25"/>
  <c r="C20" i="25" s="1"/>
  <c r="F111" i="25"/>
  <c r="C18" i="25" s="1"/>
  <c r="F162" i="25"/>
  <c r="C286" i="25" l="1"/>
  <c r="C285" i="25"/>
  <c r="C284" i="25"/>
  <c r="F133" i="25" l="1"/>
  <c r="F163" i="25" s="1"/>
  <c r="F167" i="25" s="1"/>
  <c r="F72" i="25"/>
  <c r="F73" i="25"/>
  <c r="F74" i="25" l="1"/>
  <c r="C17" i="25" s="1"/>
  <c r="C21" i="25"/>
  <c r="F34" i="25"/>
  <c r="F33" i="25"/>
  <c r="F32" i="25"/>
  <c r="F31" i="25"/>
  <c r="C24" i="25" l="1"/>
  <c r="F35" i="25"/>
  <c r="C14" i="25" s="1"/>
  <c r="C283" i="25"/>
  <c r="F61" i="25" l="1"/>
  <c r="C288" i="25"/>
  <c r="C281" i="25"/>
  <c r="C15" i="25" l="1"/>
  <c r="C25" i="25" s="1"/>
  <c r="F274" i="25"/>
  <c r="C282" i="25"/>
  <c r="C287" i="25" l="1"/>
  <c r="C290" i="25" s="1"/>
  <c r="F3" i="25"/>
  <c r="E3" i="25" s="1"/>
</calcChain>
</file>

<file path=xl/sharedStrings.xml><?xml version="1.0" encoding="utf-8"?>
<sst xmlns="http://schemas.openxmlformats.org/spreadsheetml/2006/main" count="654" uniqueCount="485">
  <si>
    <t>ETUDES D’EXECUTION ET TRAVAUX DE CONSTRUCTION D'UN BATIMENT EQUESTRE POUR FORCES AUXILIAIRES AU PORT TANGER MED</t>
  </si>
  <si>
    <t>Surface</t>
  </si>
  <si>
    <t>Ratio</t>
  </si>
  <si>
    <t>Prix Total</t>
  </si>
  <si>
    <t>Batiment</t>
  </si>
  <si>
    <r>
      <t xml:space="preserve">AO N°: TMPA_AO_  </t>
    </r>
    <r>
      <rPr>
        <b/>
        <sz val="12"/>
        <color rgb="FFFF0000"/>
        <rFont val="Calibri"/>
        <family val="2"/>
        <scheme val="minor"/>
      </rPr>
      <t>XX</t>
    </r>
    <r>
      <rPr>
        <b/>
        <sz val="12"/>
        <rFont val="Calibri"/>
        <family val="2"/>
        <scheme val="minor"/>
      </rPr>
      <t>_2025</t>
    </r>
  </si>
  <si>
    <t>RECAPITULATION</t>
  </si>
  <si>
    <t>SOUS LOTS</t>
  </si>
  <si>
    <t>TOTAL GENERAL DH HT</t>
  </si>
  <si>
    <t>LOT000</t>
  </si>
  <si>
    <t>INSTALLATION DE CHANTIER, CAMPAGNES DE RECONNAISSANCE ET ETUDES D'EXECUTION</t>
  </si>
  <si>
    <t>LOT100</t>
  </si>
  <si>
    <t>TERRASSEMENTS ET GROS ŒUVRES</t>
  </si>
  <si>
    <t>LOT200</t>
  </si>
  <si>
    <t>MURETS ET CLOISONS</t>
  </si>
  <si>
    <t>LOT300</t>
  </si>
  <si>
    <t>ÉTANCHEITE ET ISOLATION</t>
  </si>
  <si>
    <t>LOT400</t>
  </si>
  <si>
    <t>MENUISERIE</t>
  </si>
  <si>
    <t>LOT500</t>
  </si>
  <si>
    <t>REVETEMENTS ET FAUX-PLAFONDS</t>
  </si>
  <si>
    <t>LOT600</t>
  </si>
  <si>
    <t>PEINTURES</t>
  </si>
  <si>
    <t>LOT700</t>
  </si>
  <si>
    <t>ELECTRICITE CFA/CFO</t>
  </si>
  <si>
    <t>LOT800</t>
  </si>
  <si>
    <t xml:space="preserve">FLUIDES </t>
  </si>
  <si>
    <t>LOT900</t>
  </si>
  <si>
    <t>ASSAINISSEMENT</t>
  </si>
  <si>
    <t>LOT1000</t>
  </si>
  <si>
    <t>BRANCHEMENT AUX RESEAUX EXTERIEURS</t>
  </si>
  <si>
    <t>MONTANT TOTAL DU BATIMENT AVEC BRANCHEMENT (HT)</t>
  </si>
  <si>
    <t>N° DE PRIX</t>
  </si>
  <si>
    <t>DESIGNATION DES PRESTATIONS</t>
  </si>
  <si>
    <t>U</t>
  </si>
  <si>
    <t>Qté
TOTALE</t>
  </si>
  <si>
    <t xml:space="preserve"> PU HT </t>
  </si>
  <si>
    <t xml:space="preserve"> PT HT </t>
  </si>
  <si>
    <t>LOT 000 : INSTALLATION DE CHANTIER, CAMPAGNES DE RECONNAISSANCE ET ETUDES D'EXECUTION</t>
  </si>
  <si>
    <t>Prix 001</t>
  </si>
  <si>
    <t>INSTALLATION DE CHANTIER</t>
  </si>
  <si>
    <t>FT</t>
  </si>
  <si>
    <t>Prix 002</t>
  </si>
  <si>
    <t>CAMPAGNES GEOTECHNIQUE COMPLEMENTAIRE</t>
  </si>
  <si>
    <t>Prix 003</t>
  </si>
  <si>
    <t xml:space="preserve">ETUDE D'EXECUTION </t>
  </si>
  <si>
    <t>Prix 004</t>
  </si>
  <si>
    <t>DOSSIER DE RECOLLEMENT</t>
  </si>
  <si>
    <t>TOTAL   LOT 000 : INSTALLATION DE CHANTIER ET TRAVAUX PREPARATOIRES</t>
  </si>
  <si>
    <t>LOT 100 : TERRASSEMENTS ET GROS ŒUVRES</t>
  </si>
  <si>
    <t>GROS ŒUVRES ET BARDAGE</t>
  </si>
  <si>
    <t>TERRASSEMENT</t>
  </si>
  <si>
    <t>Prix 101</t>
  </si>
  <si>
    <t xml:space="preserve">FOUILLES EN PLEINE MASSE,EN TRANCHEE, EN RIGOLE OU EN PUITS DANS TERRAIN DE TOUTE NATURE </t>
  </si>
  <si>
    <r>
      <t>M</t>
    </r>
    <r>
      <rPr>
        <vertAlign val="superscript"/>
        <sz val="11"/>
        <rFont val="Calibri Light"/>
        <family val="2"/>
      </rPr>
      <t>3</t>
    </r>
  </si>
  <si>
    <t>Prix 102</t>
  </si>
  <si>
    <t>ÉVACUATION DES DEBLAIS OU MISE EN REMBLAIS</t>
  </si>
  <si>
    <t>Prix 103</t>
  </si>
  <si>
    <t>REMBLAI A PARTIR DES MATERIAUX D’APPORT 0/100</t>
  </si>
  <si>
    <t>Prix 104</t>
  </si>
  <si>
    <t>GRAVE NON TRAITEE GNA 0/31.5</t>
  </si>
  <si>
    <t>BETON</t>
  </si>
  <si>
    <t>Prix 105</t>
  </si>
  <si>
    <t xml:space="preserve">BETON DE PROPRETE  </t>
  </si>
  <si>
    <t>Prix 106</t>
  </si>
  <si>
    <t>GROS BETON</t>
  </si>
  <si>
    <t>Prix 107</t>
  </si>
  <si>
    <t>BETON ARME EN FONDATION B30 XM1</t>
  </si>
  <si>
    <t>Prix 108</t>
  </si>
  <si>
    <t>ARMATURE EN ACIER A HAUTE LIMITE ELASTIQUE EN FONDATIONS</t>
  </si>
  <si>
    <t>KG</t>
  </si>
  <si>
    <t>Prix 109</t>
  </si>
  <si>
    <t>ARASE ETANCHE</t>
  </si>
  <si>
    <t>ML</t>
  </si>
  <si>
    <t>Prix 110</t>
  </si>
  <si>
    <t>DALLAGE EN BETON Y/C ACIERS D'EPAISSEUR DE 0.15 M</t>
  </si>
  <si>
    <t>M²</t>
  </si>
  <si>
    <t>Prix 111</t>
  </si>
  <si>
    <t>BETON ARME EN ELEVATION</t>
  </si>
  <si>
    <t>Prix 112</t>
  </si>
  <si>
    <t>ARMATURE EN ACIER A HAUTE LIMITE ELASTIQUE EN ELEVATION</t>
  </si>
  <si>
    <t>Prix 113</t>
  </si>
  <si>
    <t xml:space="preserve">RESEAUX SOUS DALLAGE </t>
  </si>
  <si>
    <t>Prix 114</t>
  </si>
  <si>
    <t>CANALISATIONS EN PVC SERIE I</t>
  </si>
  <si>
    <t>Prix 114.1</t>
  </si>
  <si>
    <t>BUSES EN PVC SERIE 1 DE Ø200</t>
  </si>
  <si>
    <t>Prix 114.2</t>
  </si>
  <si>
    <t>BUSES EN PVC SERIE 1 DE Ø160</t>
  </si>
  <si>
    <t>Prix 115</t>
  </si>
  <si>
    <t>REGARDS</t>
  </si>
  <si>
    <t>Prix 115.1</t>
  </si>
  <si>
    <t>REGARDS DE 0.50 X 0.50M</t>
  </si>
  <si>
    <t>Prix 115.2</t>
  </si>
  <si>
    <t>REGARDS DE 0.60 X 0.60M</t>
  </si>
  <si>
    <t>Prix 116</t>
  </si>
  <si>
    <t xml:space="preserve">CANIVEAU EN BETON ARME </t>
  </si>
  <si>
    <t>Prix 116.1</t>
  </si>
  <si>
    <t>caniveau 0,5M</t>
  </si>
  <si>
    <t>TOTAL   LOT 100 : TERRASSEMENTS ET GROS ŒUVRES</t>
  </si>
  <si>
    <t>LOT 200 : MURETS ET CLOISONS</t>
  </si>
  <si>
    <t>Étanchéité&amp;Isolation</t>
  </si>
  <si>
    <t>Prix 201</t>
  </si>
  <si>
    <t>CLOISON DOUBLE EN AGLOS DE BETON DE 10 cm + 10 cm</t>
  </si>
  <si>
    <t>Prix 202</t>
  </si>
  <si>
    <t>CLOISONS SIMPLES EN BRIQUES CERUSES DE 8 TROUS DE 10cm</t>
  </si>
  <si>
    <t>Prix 203</t>
  </si>
  <si>
    <t>MACONNERIE EN AGGLOS CREUX DE 20 CM</t>
  </si>
  <si>
    <t>Prix 204</t>
  </si>
  <si>
    <t>ENDUITS INTERIEURS AU MORTIER DE CIMENT SUR MURS ET PLAFONDS</t>
  </si>
  <si>
    <t>Prix 205</t>
  </si>
  <si>
    <t xml:space="preserve">BLOC DE BETON PERFORE DECORATIF </t>
  </si>
  <si>
    <t>TOTAL   LOT 200 : MURETS ET CLOISONS</t>
  </si>
  <si>
    <t>LOT 300 : ÉTANCHEITE ET ISOLATION</t>
  </si>
  <si>
    <t>Prix 301</t>
  </si>
  <si>
    <t>FORME DE PENTE Y/C CHAPE DE LISSAGE</t>
  </si>
  <si>
    <t>Prix 302</t>
  </si>
  <si>
    <t>COMPLEXE D’ETANCHEITE BICOUCHES SBS AUTOPROTEGE Y/C RELEVE et protection mécanique</t>
  </si>
  <si>
    <t>Prix 303</t>
  </si>
  <si>
    <t>ETANCHEITE BICOUCHES POUR SALLES D’EAU</t>
  </si>
  <si>
    <t>Prix 304</t>
  </si>
  <si>
    <t xml:space="preserve">COMPLEXE D’ETANCHEITE BICOUCHES SBS AUTOPROTEGE Y/C RELEVE </t>
  </si>
  <si>
    <t>TOTAL   LOT 300 : ÉTANCHEITE ET ISOLATION</t>
  </si>
  <si>
    <t xml:space="preserve">LOT 400 : MENUISERIE </t>
  </si>
  <si>
    <t>Menuiserie bois/Aluminium/métallique</t>
  </si>
  <si>
    <t>MENUISERIE EN BOIS</t>
  </si>
  <si>
    <t>Prix 400</t>
  </si>
  <si>
    <t xml:space="preserve">BLOC DE PORTE BOIS STRATIFIÉE </t>
  </si>
  <si>
    <t>Prix 400.1</t>
  </si>
  <si>
    <t>Prix 400.2</t>
  </si>
  <si>
    <t>Prix 400.3</t>
  </si>
  <si>
    <t>BLOC DE PORTE EN BOIS STATIFIE PARE-FLAMME 1/2 H 0,90 X 2,20 M  - PPF1</t>
  </si>
  <si>
    <t>MENUISERIE BOIS ET METAL</t>
  </si>
  <si>
    <t>Prix 401</t>
  </si>
  <si>
    <t>BLOC DE PORTE EN BOIS MASSIF ET METAL</t>
  </si>
  <si>
    <t>Prix 401.1</t>
  </si>
  <si>
    <t>Prix 401.2</t>
  </si>
  <si>
    <t>MENUISERIE ALUMINIUM</t>
  </si>
  <si>
    <t>Prix 402</t>
  </si>
  <si>
    <t>PORTE VITRE EXTERIEURE EN ALUMINIUM A DOUBLE VANTAIL COULISSANTE 1.70X2.20M_PA1</t>
  </si>
  <si>
    <t>Prix 403</t>
  </si>
  <si>
    <t xml:space="preserve">FENETRE CHASSIS EN ALUMINIUM A SIMPLE VITRAGE + OUVRANT AL’ITALIENNE </t>
  </si>
  <si>
    <t>Prix 403.1</t>
  </si>
  <si>
    <t>FENETRE CHASSIS EN ALUMINIUM A SIMPLE VITRAGE + OUVRANT AL’ITALIENNE 0.80 x 0.80 m – CHA1</t>
  </si>
  <si>
    <t>Prix 403.2</t>
  </si>
  <si>
    <t>FENETRE CHASSIS EN ALUMINIUM A DOUBLE VITRAGE AVEC PARTIE FIXE SUPERIEUR ET PARTIE INFERIEUR OUVRANT AL’ITALIENNE 0.80 x 2.50 m – CHA2</t>
  </si>
  <si>
    <t>Prix 404</t>
  </si>
  <si>
    <t>FENETRE CHASSIS EN ALUMINIUM A SIMPLE VITRAGE FIXE OU OUVRANT COULISSANT</t>
  </si>
  <si>
    <t>Prix 404.1</t>
  </si>
  <si>
    <t>Prix 404.2</t>
  </si>
  <si>
    <t>MENUISERIE METALLIQUE</t>
  </si>
  <si>
    <t>Prix 405</t>
  </si>
  <si>
    <t xml:space="preserve">GARDE CORPS EN INOX POUR DOUBLE HAUTEUR </t>
  </si>
  <si>
    <t>Prix 406</t>
  </si>
  <si>
    <t>GARDE-CORPS EN MÉTAL GALVANISÉ POUR EXTÉRIEUR</t>
  </si>
  <si>
    <t>Prix 407</t>
  </si>
  <si>
    <t xml:space="preserve">MAIN COURANTE EN INOX </t>
  </si>
  <si>
    <t>Prix 408</t>
  </si>
  <si>
    <t>Ens</t>
  </si>
  <si>
    <t>Prix 409</t>
  </si>
  <si>
    <t xml:space="preserve">PORTE METALLIQUE EXTERIEUR </t>
  </si>
  <si>
    <t>Prix 409.1</t>
  </si>
  <si>
    <t>PORTE METALIQUE EXTERIEUR RENFORCEE A DOUBLE VANTAIL 2.10 X2.40 M– PM2</t>
  </si>
  <si>
    <t>Prix 409.2</t>
  </si>
  <si>
    <t xml:space="preserve">PORTE METALIQUE EXTERIEUR RENFORCEE A DOUBLE VANTAIL 1.60 X 2.20 M– PM3 </t>
  </si>
  <si>
    <t>Prix 409.3</t>
  </si>
  <si>
    <t xml:space="preserve">PORTE METALIQUE EXTERIEUR RENFORCEE A DOUBLE VANTAIL AVEC IMPOSTE 1.60 X 2.20 M – PM4 </t>
  </si>
  <si>
    <t xml:space="preserve">MEUBLE CUISINE </t>
  </si>
  <si>
    <t>Prix 410</t>
  </si>
  <si>
    <t xml:space="preserve">MEUBLE CUISINE ET BUANDERIE </t>
  </si>
  <si>
    <t>MEUBLE CUISINE MC1  L=7.60m</t>
  </si>
  <si>
    <t>F</t>
  </si>
  <si>
    <t>MEUBLE BUANDERIE MB1  L=6,80m</t>
  </si>
  <si>
    <t>MEUBLE INFIRMERIE MI1 L= 1,80 m</t>
  </si>
  <si>
    <t>Prix 411</t>
  </si>
  <si>
    <t xml:space="preserve">BARREAUDAGE POUR FENETRE RDC </t>
  </si>
  <si>
    <t>MENUISERIE PVC</t>
  </si>
  <si>
    <t xml:space="preserve">PORTE EN PVC RENFORCE EN ALUCOBOND A SIMPLE VANTAIL </t>
  </si>
  <si>
    <t>PORTE EN PVC RENFORCE EN ALUCOBOND A SIMPLE VANTAIL 0,80 x 2,00 m - PP1</t>
  </si>
  <si>
    <t>PORTE EN PVC RENFORCE EN ALUCOBOND A SIMPLE VANTAIL 0,80 x 2,20 m - PP1'</t>
  </si>
  <si>
    <t>TOTAL   LOT 400 : MENUISERIE</t>
  </si>
  <si>
    <t>LOT 500 :  REVETEMENTS ET FAUX PLAFONDS</t>
  </si>
  <si>
    <t>Revêtements de sols, murs et plafonds</t>
  </si>
  <si>
    <t>REVETEMENTS SOL ET MURS</t>
  </si>
  <si>
    <t>Prix 501</t>
  </si>
  <si>
    <t>REVETEMENT SOL EN CARREAUX GRES CERAME DE 60 X 60 CM Y COMPRIS PLINTHES</t>
  </si>
  <si>
    <t>Prix 502</t>
  </si>
  <si>
    <t>REVETEMENT SOL EN RESINE EPOXY ANTIDERAPANT</t>
  </si>
  <si>
    <t>Prix 503</t>
  </si>
  <si>
    <t xml:space="preserve">REVÊTEMENT MURAL EN CARRELAGE 30x60 CM </t>
  </si>
  <si>
    <t>Prix 504</t>
  </si>
  <si>
    <t xml:space="preserve">MARCHES, CONTRE MARCHES, SEUILS, PLINTHES EN PIERRE DE TAZA </t>
  </si>
  <si>
    <t>Prix 505</t>
  </si>
  <si>
    <t xml:space="preserve">REVÊTEMENT PAILLASSE BUANDERIE ET CUISINE – GRANITE POLIS </t>
  </si>
  <si>
    <t>Prix 506</t>
  </si>
  <si>
    <t xml:space="preserve">REVÊTEMENT MURAL POUR CREDENCE CUISINE EN GRANITRE POLIS </t>
  </si>
  <si>
    <t>FAUX PLAFONDS</t>
  </si>
  <si>
    <t xml:space="preserve">FAUX PLAFOND CONTINU BA13 Y COMPRIS JOINT CREUX </t>
  </si>
  <si>
    <t>Prix 508</t>
  </si>
  <si>
    <t xml:space="preserve">FAUX PLAFOND MODULAIRE DEMONTABLES 600/600 </t>
  </si>
  <si>
    <t>Prix 509</t>
  </si>
  <si>
    <t xml:space="preserve">RETOMBES DE PLAFONDS EN PLAQUE DE PLATRE BA13 </t>
  </si>
  <si>
    <t>TOTAL   LOT 500 : REVETEMENTS ET FAUX PLAFONDS</t>
  </si>
  <si>
    <t>LOT 600 : PEINTURES</t>
  </si>
  <si>
    <t>Peintures</t>
  </si>
  <si>
    <t>Prix 601</t>
  </si>
  <si>
    <t>PEINTURE EXTERIEURE</t>
  </si>
  <si>
    <t>Prix 602</t>
  </si>
  <si>
    <t>PEINTURE GLYCEROPHTALIQUE MATE SUR SUR PLAFONDS EN STAFF LISSE ET PLACO BA13</t>
  </si>
  <si>
    <t>Prix 603</t>
  </si>
  <si>
    <t xml:space="preserve">PEINTURE GLYCEROPHTALIQUE SATINEE SUR MURS INTERIEURS ET PLAFOND </t>
  </si>
  <si>
    <t>Prix 604</t>
  </si>
  <si>
    <t>PEINTURE LAQUEE BRILLANTE INTERIEURE LOCAUX HUMIDE</t>
  </si>
  <si>
    <t>TOTAL   LOT 600 : PEINTURES</t>
  </si>
  <si>
    <t>LOT 700 : ÉLECTRICITE CFO/CFA</t>
  </si>
  <si>
    <t>Électricité CFO/CFA</t>
  </si>
  <si>
    <t>COURANT FORT</t>
  </si>
  <si>
    <t>Prix 701</t>
  </si>
  <si>
    <t>RACCORDEMENT AU RESEAU BT EXISTANT y compris disjoncteurs</t>
  </si>
  <si>
    <t>Prix 702</t>
  </si>
  <si>
    <t>TABLEAU ELECTRIQUE BASSE TENSION</t>
  </si>
  <si>
    <t>Prix 703</t>
  </si>
  <si>
    <t>PRISE DE TERRE ET LIAISON EQUIPOTENTIELLE</t>
  </si>
  <si>
    <t>Prix 704</t>
  </si>
  <si>
    <t>FOYERS LUMINEUX ET DE PRISES DE COURANT</t>
  </si>
  <si>
    <t>Prix 704.1</t>
  </si>
  <si>
    <t>FOYERS LUMINEUX</t>
  </si>
  <si>
    <t>Prix 704.1.1</t>
  </si>
  <si>
    <t>Foyer lumineux principal</t>
  </si>
  <si>
    <t>Prix 704.1.2</t>
  </si>
  <si>
    <t xml:space="preserve">Foyer lumineux complementaire </t>
  </si>
  <si>
    <t>Prix 704.2</t>
  </si>
  <si>
    <t>FOYERS DE PRISES DE COURANT</t>
  </si>
  <si>
    <t>Prix 704.2.1</t>
  </si>
  <si>
    <t>Foyer de prises principal</t>
  </si>
  <si>
    <t>Prix 704.2.2</t>
  </si>
  <si>
    <t xml:space="preserve">Foyer de prises  complementaire </t>
  </si>
  <si>
    <t>Prix 705</t>
  </si>
  <si>
    <t>ATTENTE ELECTRIQUE</t>
  </si>
  <si>
    <t>Prix 705.1</t>
  </si>
  <si>
    <t>Attente électrique Déclencheur</t>
  </si>
  <si>
    <t>Prix 705.2</t>
  </si>
  <si>
    <t>Attente électrique chauffe eau électrique</t>
  </si>
  <si>
    <t>Prix 706</t>
  </si>
  <si>
    <t>PETIT APPAREILLAGE</t>
  </si>
  <si>
    <t>Prix 706.1</t>
  </si>
  <si>
    <t xml:space="preserve">Interrupteur simple allumage gamme MOSAIC de LEGRAND ou similaire </t>
  </si>
  <si>
    <t>Prix 706.2</t>
  </si>
  <si>
    <t xml:space="preserve">Interrupteur simple allumage étanche gamme PLEXO de LEGRAND ou similaire </t>
  </si>
  <si>
    <t>Prix 706.3</t>
  </si>
  <si>
    <t xml:space="preserve">Interrupteur va et vient gamme MOSAIC de LEGRAND ou similaire </t>
  </si>
  <si>
    <t>Prix 706.4</t>
  </si>
  <si>
    <t xml:space="preserve">DETECTEUR DE PRESENCE ETANCHE D=4M 120° GAMME PLEXO DE LEGRAND OU SIMILAIRE </t>
  </si>
  <si>
    <t>Prix 706.5</t>
  </si>
  <si>
    <t xml:space="preserve">DETECTEUR DE MOUVEMENT DE D=8M 360° GAMME MOSAIC DE LEGRAND OU SIMILAIRE </t>
  </si>
  <si>
    <t>Prix 706.6</t>
  </si>
  <si>
    <t xml:space="preserve">Prise de courant 16A P+N+T gamme MOSAIC de LEGRAND ou similaire </t>
  </si>
  <si>
    <t>Prix 706.7</t>
  </si>
  <si>
    <t xml:space="preserve">Prise de courant 16A P+N+T gamme PLEXO de LEGRAND ou similaire </t>
  </si>
  <si>
    <t>Prix 707</t>
  </si>
  <si>
    <t>LUSTRERIE</t>
  </si>
  <si>
    <t>Prix 707.1</t>
  </si>
  <si>
    <t>SPOT LED ETANCHE LED</t>
  </si>
  <si>
    <t xml:space="preserve"> U</t>
  </si>
  <si>
    <t>Prix 707.2</t>
  </si>
  <si>
    <t>APPLIQUE MURAL ETANCHE LED</t>
  </si>
  <si>
    <t>Prix 707.3</t>
  </si>
  <si>
    <t xml:space="preserve">PROJECTEUR LED 100W POUR ECLAIRAGE EXTERIEUR ORIENTABLE </t>
  </si>
  <si>
    <t>Prix 707.4</t>
  </si>
  <si>
    <t xml:space="preserve">HUBBLOT LED ETANCHE BOX CHEVAUX  </t>
  </si>
  <si>
    <t>Prix 707.5</t>
  </si>
  <si>
    <t xml:space="preserve">luminaire LED ETANCHE COULOIR  </t>
  </si>
  <si>
    <t>Prix 707.6</t>
  </si>
  <si>
    <t>PLAFONNIER LED 60x60</t>
  </si>
  <si>
    <t>Prix 708</t>
  </si>
  <si>
    <t>BLOC AUTONOME 1H 45 LUMENS LED</t>
  </si>
  <si>
    <t>Prix 709</t>
  </si>
  <si>
    <t>Réseau de conduits CFO-CFA</t>
  </si>
  <si>
    <t>E</t>
  </si>
  <si>
    <t xml:space="preserve">TOTAL ELECTRICITE-CFO  H.T </t>
  </si>
  <si>
    <t>DETECTION INCENDIE</t>
  </si>
  <si>
    <t>Prix 710</t>
  </si>
  <si>
    <t xml:space="preserve">SYSTEME ALARME INCENDIE TYPE 4 </t>
  </si>
  <si>
    <t xml:space="preserve">TOTAL DETECTION INCENDIE  H.T </t>
  </si>
  <si>
    <t>TOTAL   LOT 700 : ÉLECTRICITE CFO/CFA</t>
  </si>
  <si>
    <t>LOT 800 : FLUIDES</t>
  </si>
  <si>
    <t>PLOMBERIE SANITAIRE</t>
  </si>
  <si>
    <t>Prix 801</t>
  </si>
  <si>
    <t>Branchement eau potable</t>
  </si>
  <si>
    <t>Prix 802</t>
  </si>
  <si>
    <t xml:space="preserve">Equipements compteur d'eau </t>
  </si>
  <si>
    <t>Prix 803</t>
  </si>
  <si>
    <t>Tube en PEHD PE100 PN16 d'alimentation eau</t>
  </si>
  <si>
    <t>Prix 803.1</t>
  </si>
  <si>
    <t>Tube PEHD PN16 D50</t>
  </si>
  <si>
    <t>Prix 804</t>
  </si>
  <si>
    <t>CANALISATION EAU POTABLE EN TUBE POLYEPROPYLENE PPR PN20</t>
  </si>
  <si>
    <t>Prix 804.1</t>
  </si>
  <si>
    <t xml:space="preserve"> PPR PN 20 Ø 50/33,4</t>
  </si>
  <si>
    <t>Prix 804.2</t>
  </si>
  <si>
    <t xml:space="preserve"> PPR PN 20 Ø40/26,6</t>
  </si>
  <si>
    <t>Prix 804.3</t>
  </si>
  <si>
    <t>PPR PN 20 Ø32/21,2</t>
  </si>
  <si>
    <t>Prix 804.4</t>
  </si>
  <si>
    <t>PPR PN 20 Ø25/16,6</t>
  </si>
  <si>
    <t>Prix 804.5</t>
  </si>
  <si>
    <t>PPR PN 20 Ø20/13,2</t>
  </si>
  <si>
    <t>Prix 805</t>
  </si>
  <si>
    <t>Tube polypropylène PER et collecteur de distribution</t>
  </si>
  <si>
    <t>Prix 805.1</t>
  </si>
  <si>
    <t>Tube en PER 13,2/16</t>
  </si>
  <si>
    <t>Prix 805.2</t>
  </si>
  <si>
    <t>Tube en PER 16/20</t>
  </si>
  <si>
    <t>Prix 805.3</t>
  </si>
  <si>
    <t>Collecteurs de distribution à 3 départ minimum</t>
  </si>
  <si>
    <t>Prix 806</t>
  </si>
  <si>
    <t>Robinet d'isolement PPR</t>
  </si>
  <si>
    <t>Prix 806.1</t>
  </si>
  <si>
    <t>Ø 50/33,4</t>
  </si>
  <si>
    <t>Prix 806.2</t>
  </si>
  <si>
    <t>Ø 40/26,6</t>
  </si>
  <si>
    <t>Prix 806.3</t>
  </si>
  <si>
    <t>Ø32/21,2</t>
  </si>
  <si>
    <t>Prix 806.4</t>
  </si>
  <si>
    <t>Ø20/13,2</t>
  </si>
  <si>
    <t>Prix 807</t>
  </si>
  <si>
    <t>Robinet de puisage</t>
  </si>
  <si>
    <t>Prix 808</t>
  </si>
  <si>
    <t xml:space="preserve">Chauffe-eau électrique </t>
  </si>
  <si>
    <t>Prix 808.1</t>
  </si>
  <si>
    <t>Chauffe-eau électrique 30L</t>
  </si>
  <si>
    <t>Prix 808.2</t>
  </si>
  <si>
    <t>Chauffe-eau électrique 80L</t>
  </si>
  <si>
    <t>APPAREILS SANITAIRES</t>
  </si>
  <si>
    <t>Prix 809</t>
  </si>
  <si>
    <t>FOURNITURE ET POSE DES APPAREILS ET ACCESSOIRES SANITAIRES ET ROBINETTERIE</t>
  </si>
  <si>
    <t>Prix 809.1</t>
  </si>
  <si>
    <t>WC AVEC RESERVOIR ATTENANT Y COMPRIS ABATTANT</t>
  </si>
  <si>
    <t>Prix 809.2</t>
  </si>
  <si>
    <t xml:space="preserve">VASQUE COLLECTIF </t>
  </si>
  <si>
    <t>Prix 809.3</t>
  </si>
  <si>
    <t>Evier en inox</t>
  </si>
  <si>
    <t>Prix 809.4</t>
  </si>
  <si>
    <t xml:space="preserve">LAVABO SUSPENDUE POUR INFIRMERIE ET MAGASIN D'HARNACHEMENT </t>
  </si>
  <si>
    <t>Prix 809.5</t>
  </si>
  <si>
    <t xml:space="preserve">PLATEAU DE DOUCHE EN MARBRE </t>
  </si>
  <si>
    <t>Prix 809.6</t>
  </si>
  <si>
    <t xml:space="preserve">WC TURQUE </t>
  </si>
  <si>
    <t xml:space="preserve">EVACUATION EU EV EP </t>
  </si>
  <si>
    <t>Prix 810</t>
  </si>
  <si>
    <t>CANIVEAU POUR BOX CHEVAL</t>
  </si>
  <si>
    <t>Prix 811</t>
  </si>
  <si>
    <t>GARGOUILLES D’EAU PLUVIALES EN PLOMB Ø110</t>
  </si>
  <si>
    <t>Prix 812</t>
  </si>
  <si>
    <t>Chutes et collecteurs EU -EV -EP: tube en PVC</t>
  </si>
  <si>
    <t>Prix 812.1</t>
  </si>
  <si>
    <t>Tube PVC évacuation Ø 40</t>
  </si>
  <si>
    <t>Prix 812.2</t>
  </si>
  <si>
    <t>Tube PVC évacuation Ø 50</t>
  </si>
  <si>
    <t>Prix 812.3</t>
  </si>
  <si>
    <t>Tube PVC évacuation Ø 75</t>
  </si>
  <si>
    <t>Prix 812.4</t>
  </si>
  <si>
    <t>Tube PVC évacuation Ø 110</t>
  </si>
  <si>
    <t>Prix 813</t>
  </si>
  <si>
    <t>Siphon de sol en inox 150x150 mm</t>
  </si>
  <si>
    <t>Prix 814</t>
  </si>
  <si>
    <t>Manchon de ventilation primaire</t>
  </si>
  <si>
    <t>Prix 814.1</t>
  </si>
  <si>
    <t>Ø 75</t>
  </si>
  <si>
    <t>Prix 814.2</t>
  </si>
  <si>
    <t>Ø 110</t>
  </si>
  <si>
    <t xml:space="preserve">TOTAL PLOMBERIE SANITAIRE  H.T </t>
  </si>
  <si>
    <t>PCI (PROTECTION CONTRE INCENDIE)</t>
  </si>
  <si>
    <t>Prix 815</t>
  </si>
  <si>
    <t>EXTINCTEURS PORTATIFS</t>
  </si>
  <si>
    <t>Prix 815.1</t>
  </si>
  <si>
    <t>Extincteur à poudre ABC 6KG</t>
  </si>
  <si>
    <t>Prix 815.2</t>
  </si>
  <si>
    <t>Extincteur à CO2 DE 5KG</t>
  </si>
  <si>
    <t>Prix 815.3</t>
  </si>
  <si>
    <t>Extincteur à EAU pulvérisée 6L</t>
  </si>
  <si>
    <t xml:space="preserve">TOTAL PROTECTION CONTRE INCENDIE  H.T </t>
  </si>
  <si>
    <t xml:space="preserve">TOTAL  LOT 800 : FLUIDES  </t>
  </si>
  <si>
    <t xml:space="preserve">LOT 900 : Assainissement </t>
  </si>
  <si>
    <t>Fluides</t>
  </si>
  <si>
    <t xml:space="preserve">OUVRAGES ANNEXES SECONDAIRES </t>
  </si>
  <si>
    <t>Prix 901</t>
  </si>
  <si>
    <t>BOITE DE BRANCHEMENT SIMPLE EP TOUTE PROFONDEUR</t>
  </si>
  <si>
    <t>Prix 902</t>
  </si>
  <si>
    <t xml:space="preserve">TOTAL RESEAUX D'ASSAINISSEMENT EAUX PLUVIALES H.T </t>
  </si>
  <si>
    <t>TRAVAUX DES TERRASSEMENTS</t>
  </si>
  <si>
    <t>Prix 903</t>
  </si>
  <si>
    <t>DEBLAIS EN TRANCHEES EN TERRAIN DE TOUTES NATURES A TOUTE PROFONDEUR</t>
  </si>
  <si>
    <t>FOURNITURE ET MISE EN ŒUVRE DES REMBLAIS PRIMAIRES</t>
  </si>
  <si>
    <t>Prix 904</t>
  </si>
  <si>
    <t>FOURNITURE ET MISE EN ŒUVRE DES REMBLAIS PRIMAIRE EN SABLE DE CONCASSAGE 0/5</t>
  </si>
  <si>
    <t>Prix 905</t>
  </si>
  <si>
    <t>FOURNITURE ET MISE EN ŒUVRE DES REMBLAIS SECONDAIRES</t>
  </si>
  <si>
    <t>Prix 906</t>
  </si>
  <si>
    <t>FOURNITURE ET MISE EN ŒUVRE D'UN LIT DE POSE EN SABLE ET/OU EN GRAVILLON</t>
  </si>
  <si>
    <t>CANALISATIONS</t>
  </si>
  <si>
    <t>Prix 907</t>
  </si>
  <si>
    <t>CANALISATION EN PEHD OU PVC PVC DIAMETRE 300 MM</t>
  </si>
  <si>
    <t xml:space="preserve">OUVRAGES ANNEXES </t>
  </si>
  <si>
    <t xml:space="preserve">OUVRAGES ANNEXES PRIMAIRES </t>
  </si>
  <si>
    <t>Prix 908</t>
  </si>
  <si>
    <t>REGARDS DE VISITE SIMPLE SUR CONDUITE CIRCULAIRE TOUTE PROFONDEUR</t>
  </si>
  <si>
    <t>Prix 909</t>
  </si>
  <si>
    <t>BOITE DE BRANCHEMENT SIMPLE EU TOUTE PROFONDEUR</t>
  </si>
  <si>
    <t>Prix 910</t>
  </si>
  <si>
    <t>REGARD BORGNE SUR CONDUITE CIRCULAIRE</t>
  </si>
  <si>
    <t>Prix 911</t>
  </si>
  <si>
    <t xml:space="preserve">FOSSE SEPTIQUE </t>
  </si>
  <si>
    <t>COURONNEMENT DES OUVRAGES EN FONTE DUCTILE</t>
  </si>
  <si>
    <t>Prix 912</t>
  </si>
  <si>
    <t>CADRE ET TAMPON EN FD CLASSE E600 POUR REGARD DE VISITE SOUS CHAUSSEE</t>
  </si>
  <si>
    <t>Prix 913</t>
  </si>
  <si>
    <t xml:space="preserve">TOTAL RESEAUX D'ASSAINISSEMENT EAUX USEES H.T </t>
  </si>
  <si>
    <t xml:space="preserve">TOTAL  900 : Assainissement </t>
  </si>
  <si>
    <t xml:space="preserve">MONTANT GLOBAL DU BATIMENT EN DH HT </t>
  </si>
  <si>
    <t>RACCORDEMENT RESEAUX ELECTRICITE</t>
  </si>
  <si>
    <t>Prix 1001</t>
  </si>
  <si>
    <t xml:space="preserve">GENIE CIVIL POUR RESEAU BT </t>
  </si>
  <si>
    <t>Prix 1001.1</t>
  </si>
  <si>
    <t>TRAVAUX DE TERRASSEMENT EN DEBLAI/REMBLAI Y/C FOURNITURE ET POSE DE GRILLAGE AVERTISSEUR TRANCHEE/TRAVERSEE</t>
  </si>
  <si>
    <t>Prix 1001.2</t>
  </si>
  <si>
    <t>FOURREAUX POUR RESEAU BT EN DN110</t>
  </si>
  <si>
    <t>Prix 1001.3</t>
  </si>
  <si>
    <t>REGARD DE TIRAGE</t>
  </si>
  <si>
    <t>Prix 1002</t>
  </si>
  <si>
    <t xml:space="preserve">TOTAL RACCORDEMENT RESEAUX ELECTRICITE CFO/CFA H.T </t>
  </si>
  <si>
    <t>Raccordement  RESEAUX D'AEP</t>
  </si>
  <si>
    <t>I- TERRASSEMENTS</t>
  </si>
  <si>
    <t>Prix 1003</t>
  </si>
  <si>
    <t>TERRASSEMENTS POUR CANALISATION ET OUVRAGES ANNEXES</t>
  </si>
  <si>
    <t>Prix 1004</t>
  </si>
  <si>
    <t>LIT DE POSE EN SABLE 10 cm D'EPAISSEUR</t>
  </si>
  <si>
    <t>REMBLAI EN TRANCHEE POUR CONDUITES ET OUVRAGES ANNEXES</t>
  </si>
  <si>
    <t>Prix 1005</t>
  </si>
  <si>
    <t>REMBLAI PRIMIRE EN SABLE</t>
  </si>
  <si>
    <t>Prix 1006</t>
  </si>
  <si>
    <t xml:space="preserve">REMBLAI SECONDAIRE </t>
  </si>
  <si>
    <t>II- CANALISATIONS</t>
  </si>
  <si>
    <t>Prix 1007</t>
  </si>
  <si>
    <t>CONDUITES EN PVC PN16 DN 110 mm</t>
  </si>
  <si>
    <t>Prix 1008</t>
  </si>
  <si>
    <t>CONDUITES EN FONTE SERIE K9 DN 100 mm</t>
  </si>
  <si>
    <t>III- PIECES SPECIALES</t>
  </si>
  <si>
    <t>Prix 1009</t>
  </si>
  <si>
    <t>Prix 1010</t>
  </si>
  <si>
    <t>RACCORDS BRIDE MAJOR ADAPTATEUR EN FONTE DN 110 mm</t>
  </si>
  <si>
    <t>Prix 1011</t>
  </si>
  <si>
    <t>JOINT DE DEMONTAGE EN FONTE DN 200mm</t>
  </si>
  <si>
    <t>Prix 1012</t>
  </si>
  <si>
    <t>Prix 1013</t>
  </si>
  <si>
    <t>BRIDE MAJORS POUR PVC-FONTE DN 200MM</t>
  </si>
  <si>
    <t>IV- OUVRAGES ANNEXES</t>
  </si>
  <si>
    <t>Prix 1014</t>
  </si>
  <si>
    <t>BRANCHEMENTS INDIVIDUELS SELON PLAN TYPE</t>
  </si>
  <si>
    <t xml:space="preserve">RINCAGE ET DESINFECTION DES CONDUITES </t>
  </si>
  <si>
    <t xml:space="preserve">TOTAL RESEAUX AEP H.T </t>
  </si>
  <si>
    <t>TOTAL  LOT 1000 : BRANCHEMENT AUX RESEAUX EXTERIEURS</t>
  </si>
  <si>
    <t>INSTALLATION DE CHANTIER ET TRAVAUX PREPARATOIRES</t>
  </si>
  <si>
    <t>AMENAGEMENTS EXTERIEURS</t>
  </si>
  <si>
    <t>MONTANT TOTAL DU PROJET (HT)</t>
  </si>
  <si>
    <t xml:space="preserve">PLANCHER EN DALLE HOURDIS 16 + 4 </t>
  </si>
  <si>
    <t>OUVRAGE DE REJET VERS OUED POUR EAUX USEES</t>
  </si>
  <si>
    <t>OUVRAGE DE REJET VERS OUED POUR EAUX PLUVIALES</t>
  </si>
  <si>
    <t>PLAQUE PLEINE DN 200mm</t>
  </si>
  <si>
    <t>Prix 408.1</t>
  </si>
  <si>
    <t>Prix 408.2</t>
  </si>
  <si>
    <t>Prix 408.3</t>
  </si>
  <si>
    <t>Prix 411.1</t>
  </si>
  <si>
    <t>Prix 411.2</t>
  </si>
  <si>
    <t>FENETRE CHASSIS EN ALUMINIUM COULISSANT A SIMPLE VITRAGE- FA1 / FA2 / FA3 / FA5/ FA7</t>
  </si>
  <si>
    <t xml:space="preserve">FENETRE CHASSIS EN ALUMINIUM FIXE A SIMPLE  VITRAGE - FA4 / FA6 / FA8 </t>
  </si>
  <si>
    <t xml:space="preserve">BLOC DE PORTEBOIS STRATIFIÉE à SIMPLE VANTAIL _ PB1 et PB2 </t>
  </si>
  <si>
    <t>BLOC DE PORTEBOIS STRATIFIÉE à DOUBLE  VANTAIL _PB3</t>
  </si>
  <si>
    <t xml:space="preserve">BLOC PORTE EN METAL ET BOIS COULISSANTE AVEC PARTIE FIXE_ PBM1 : 3.53X3.20 M </t>
  </si>
  <si>
    <t>BLOC PORTE EN METAL ET BOIS COULISSANTE_ PBM1’ : 3.53X3.20 M</t>
  </si>
  <si>
    <t>Prix 507</t>
  </si>
  <si>
    <t>LOT 1000 : RACCORDEMENT AUX RESEAUX EXTERIEURS</t>
  </si>
  <si>
    <t>Té  Bridé du trois cotés DN 110/110 mm</t>
  </si>
  <si>
    <t>Amenagement</t>
  </si>
  <si>
    <t>Version: 251125_ESTIM_TMPA_BAT_EQ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</si>
</sst>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&quot;F&quot;_-;\-* #,##0.00\ &quot;F&quot;_-;_-* &quot;-&quot;??\ &quot;F&quot;_-;_-@_-"/>
    <numFmt numFmtId="166" formatCode="_-* #,##0.00\ _F_-;\-* #,##0.00\ _F_-;_-* &quot;-&quot;??\ _F_-;_-@_-"/>
    <numFmt numFmtId="167" formatCode="&quot;Vrai&quot;;&quot;Vrai&quot;;&quot;Faux&quot;"/>
    <numFmt numFmtId="168" formatCode="_-* #,##0.00\ _D_H_-;\-* #,##0.00\ _D_H_-;_-* &quot;-&quot;??\ _D_H_-;_-@_-"/>
    <numFmt numFmtId="169" formatCode="_-* #,##0.00\ [$€-1]_-;\-* #,##0.00\ [$€-1]_-;_-* &quot;-&quot;??\ [$€-1]_-"/>
    <numFmt numFmtId="170" formatCode="_-* #,##0.00\ _$_-;_-* #,##0.00\ _$\-;_-* &quot;-&quot;??\ _$_-;_-@_-"/>
    <numFmt numFmtId="171" formatCode="_-* #,##0.00\ &quot;dh&quot;_-;\-* #,##0.00\ &quot;dh&quot;_-;_-* &quot;-&quot;??\ &quot;dh&quot;_-;_-@_-"/>
    <numFmt numFmtId="172" formatCode="_-* #,##0.00\ _d_h_-;\-* #,##0.00\ _d_h_-;_-* &quot;-&quot;??\ _d_h_-;_-@_-"/>
    <numFmt numFmtId="173" formatCode="&quot; &quot;#,##0.00&quot;   &quot;;&quot;-&quot;#,##0.00&quot;   &quot;;&quot; &quot;&quot;-&quot;#&quot;   &quot;;&quot; &quot;@&quot; &quot;"/>
    <numFmt numFmtId="174" formatCode="_-* #,##0_-;\-* #,##0_-;_-* &quot;-&quot;??_-;_-@_-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Book Antiqua"/>
      <family val="1"/>
    </font>
    <font>
      <b/>
      <sz val="16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6"/>
      <color theme="1"/>
      <name val="Calibri Light"/>
      <family val="2"/>
    </font>
    <font>
      <b/>
      <sz val="16"/>
      <color theme="1"/>
      <name val="Calibri Light"/>
      <family val="2"/>
    </font>
    <font>
      <b/>
      <sz val="14"/>
      <color theme="1"/>
      <name val="Calibri Light"/>
      <family val="2"/>
    </font>
    <font>
      <b/>
      <sz val="11"/>
      <name val="Calibri Light"/>
      <family val="2"/>
    </font>
    <font>
      <b/>
      <sz val="11"/>
      <color rgb="FF000000"/>
      <name val="Calibri Light"/>
      <family val="2"/>
    </font>
    <font>
      <sz val="11"/>
      <name val="Calibri Light"/>
      <family val="2"/>
    </font>
    <font>
      <sz val="11"/>
      <color rgb="FF000000"/>
      <name val="Calibri Light"/>
      <family val="2"/>
    </font>
    <font>
      <b/>
      <sz val="12"/>
      <color theme="1"/>
      <name val="Calibri Light"/>
      <family val="2"/>
    </font>
    <font>
      <vertAlign val="superscript"/>
      <sz val="11"/>
      <name val="Calibri Light"/>
      <family val="2"/>
    </font>
    <font>
      <b/>
      <sz val="11"/>
      <color theme="1"/>
      <name val="Calibri Light"/>
      <family val="2"/>
    </font>
    <font>
      <b/>
      <u/>
      <sz val="14"/>
      <color rgb="FF0070C0"/>
      <name val="Calibri Light"/>
      <family val="2"/>
    </font>
    <font>
      <b/>
      <u/>
      <sz val="11"/>
      <color rgb="FF0070C0"/>
      <name val="Calibri Light"/>
      <family val="2"/>
    </font>
    <font>
      <b/>
      <u/>
      <sz val="12"/>
      <color rgb="FF0070C0"/>
      <name val="Calibri Light"/>
      <family val="2"/>
    </font>
    <font>
      <b/>
      <sz val="12"/>
      <name val="Calibri Light"/>
      <family val="2"/>
    </font>
    <font>
      <b/>
      <sz val="18"/>
      <color theme="0"/>
      <name val="Calibri Light"/>
      <family val="2"/>
    </font>
    <font>
      <b/>
      <sz val="26"/>
      <color theme="4"/>
      <name val="Calibri"/>
      <family val="2"/>
      <scheme val="minor"/>
    </font>
    <font>
      <sz val="18"/>
      <color theme="4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u/>
      <sz val="11"/>
      <name val="Calibri Light"/>
      <family val="2"/>
    </font>
    <font>
      <b/>
      <sz val="18"/>
      <color theme="4"/>
      <name val="Calibri Light"/>
      <family val="2"/>
    </font>
    <font>
      <b/>
      <sz val="16"/>
      <color theme="4"/>
      <name val="Calibri Light"/>
      <family val="2"/>
    </font>
    <font>
      <sz val="12"/>
      <color theme="1"/>
      <name val="Calibri Light"/>
      <family val="2"/>
    </font>
    <font>
      <b/>
      <sz val="16"/>
      <color theme="0"/>
      <name val="Calibri Light"/>
      <family val="2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2" tint="-0.749961851863155"/>
      <name val="Calibri"/>
      <family val="2"/>
      <scheme val="minor"/>
    </font>
    <font>
      <sz val="10"/>
      <name val="Times New Roman"/>
      <family val="1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E5AF42"/>
      </patternFill>
    </fill>
    <fill>
      <patternFill patternType="solid">
        <fgColor rgb="FFFABE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5">
    <xf numFmtId="0" fontId="0" fillId="0" borderId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7" fillId="0" borderId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23" borderId="23" applyNumberFormat="0" applyAlignment="0" applyProtection="0"/>
    <xf numFmtId="0" fontId="12" fillId="0" borderId="24" applyNumberFormat="0" applyFill="0" applyAlignment="0" applyProtection="0"/>
    <xf numFmtId="0" fontId="3" fillId="24" borderId="25" applyNumberFormat="0" applyFont="0" applyAlignment="0" applyProtection="0"/>
    <xf numFmtId="0" fontId="13" fillId="10" borderId="23" applyNumberFormat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4" fillId="6" borderId="0" applyNumberFormat="0" applyBorder="0" applyAlignment="0" applyProtection="0"/>
    <xf numFmtId="166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5" fillId="25" borderId="0" applyNumberFormat="0" applyBorder="0" applyAlignment="0" applyProtection="0"/>
    <xf numFmtId="0" fontId="4" fillId="0" borderId="0"/>
    <xf numFmtId="0" fontId="3" fillId="0" borderId="0"/>
    <xf numFmtId="0" fontId="16" fillId="7" borderId="0" applyNumberFormat="0" applyBorder="0" applyAlignment="0" applyProtection="0"/>
    <xf numFmtId="0" fontId="17" fillId="23" borderId="26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27" applyNumberFormat="0" applyFill="0" applyAlignment="0" applyProtection="0"/>
    <xf numFmtId="0" fontId="21" fillId="0" borderId="28" applyNumberFormat="0" applyFill="0" applyAlignment="0" applyProtection="0"/>
    <xf numFmtId="0" fontId="22" fillId="0" borderId="2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30" applyNumberFormat="0" applyFill="0" applyAlignment="0" applyProtection="0"/>
    <xf numFmtId="0" fontId="24" fillId="26" borderId="31" applyNumberFormat="0" applyAlignment="0" applyProtection="0"/>
    <xf numFmtId="0" fontId="7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49" fillId="27" borderId="0"/>
    <xf numFmtId="0" fontId="50" fillId="28" borderId="0"/>
    <xf numFmtId="168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1" fillId="0" borderId="0" applyFill="0" applyBorder="0">
      <alignment horizontal="left" vertical="center" wrapText="1" indent="1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52" fillId="0" borderId="0"/>
    <xf numFmtId="172" fontId="52" fillId="0" borderId="0" applyFont="0" applyFill="0" applyBorder="0" applyAlignment="0" applyProtection="0"/>
    <xf numFmtId="173" fontId="53" fillId="0" borderId="0" applyFont="0" applyFill="0" applyBorder="0" applyAlignment="0" applyProtection="0"/>
    <xf numFmtId="171" fontId="52" fillId="0" borderId="0" applyFont="0" applyFill="0" applyBorder="0" applyAlignment="0" applyProtection="0"/>
    <xf numFmtId="0" fontId="8" fillId="0" borderId="0"/>
    <xf numFmtId="0" fontId="52" fillId="0" borderId="0"/>
    <xf numFmtId="166" fontId="4" fillId="0" borderId="0" applyFont="0" applyFill="0" applyBorder="0" applyAlignment="0" applyProtection="0"/>
  </cellStyleXfs>
  <cellXfs count="171">
    <xf numFmtId="0" fontId="0" fillId="0" borderId="0" xfId="0"/>
    <xf numFmtId="0" fontId="28" fillId="0" borderId="15" xfId="3" applyFont="1" applyBorder="1" applyAlignment="1">
      <alignment horizontal="left" vertical="center" wrapText="1"/>
    </xf>
    <xf numFmtId="0" fontId="43" fillId="0" borderId="15" xfId="3" applyFont="1" applyBorder="1" applyAlignment="1">
      <alignment horizontal="left" vertical="center" wrapText="1"/>
    </xf>
    <xf numFmtId="0" fontId="30" fillId="0" borderId="15" xfId="3" applyFont="1" applyBorder="1" applyAlignment="1">
      <alignment horizontal="left" vertical="center" wrapText="1"/>
    </xf>
    <xf numFmtId="0" fontId="46" fillId="0" borderId="21" xfId="0" applyFont="1" applyBorder="1" applyAlignment="1">
      <alignment vertical="center" wrapText="1"/>
    </xf>
    <xf numFmtId="0" fontId="46" fillId="0" borderId="38" xfId="0" applyFont="1" applyBorder="1" applyAlignment="1">
      <alignment vertical="center" wrapText="1"/>
    </xf>
    <xf numFmtId="0" fontId="46" fillId="0" borderId="19" xfId="0" applyFont="1" applyBorder="1" applyAlignment="1">
      <alignment vertical="center" wrapText="1"/>
    </xf>
    <xf numFmtId="0" fontId="36" fillId="3" borderId="17" xfId="6" applyFont="1" applyFill="1" applyBorder="1" applyAlignment="1">
      <alignment horizontal="left" vertical="center" wrapText="1"/>
    </xf>
    <xf numFmtId="0" fontId="36" fillId="3" borderId="12" xfId="6" applyFont="1" applyFill="1" applyBorder="1" applyAlignment="1">
      <alignment horizontal="left" vertical="center" wrapText="1"/>
    </xf>
    <xf numFmtId="0" fontId="46" fillId="0" borderId="11" xfId="0" applyFont="1" applyBorder="1" applyAlignment="1">
      <alignment horizontal="left" vertical="center" wrapText="1"/>
    </xf>
    <xf numFmtId="0" fontId="46" fillId="0" borderId="39" xfId="0" applyFont="1" applyBorder="1" applyAlignment="1">
      <alignment horizontal="left" vertical="center" wrapText="1"/>
    </xf>
    <xf numFmtId="0" fontId="46" fillId="0" borderId="40" xfId="0" applyFont="1" applyBorder="1" applyAlignment="1">
      <alignment horizontal="left" vertical="center" wrapText="1"/>
    </xf>
    <xf numFmtId="0" fontId="37" fillId="0" borderId="14" xfId="6" applyFont="1" applyBorder="1" applyAlignment="1">
      <alignment horizontal="left" vertical="center" wrapText="1"/>
    </xf>
    <xf numFmtId="0" fontId="43" fillId="0" borderId="13" xfId="6" applyFont="1" applyBorder="1" applyAlignment="1">
      <alignment horizontal="left" vertical="center" wrapText="1"/>
    </xf>
    <xf numFmtId="0" fontId="28" fillId="0" borderId="15" xfId="6" applyFont="1" applyBorder="1" applyAlignment="1">
      <alignment horizontal="left" vertical="center" wrapText="1"/>
    </xf>
    <xf numFmtId="164" fontId="41" fillId="0" borderId="33" xfId="9" applyNumberFormat="1" applyFont="1" applyBorder="1" applyAlignment="1">
      <alignment vertical="center" wrapText="1"/>
    </xf>
    <xf numFmtId="167" fontId="6" fillId="0" borderId="0" xfId="11" applyFont="1" applyFill="1" applyBorder="1" applyAlignment="1">
      <alignment horizontal="left" vertical="center" wrapText="1"/>
    </xf>
    <xf numFmtId="167" fontId="6" fillId="0" borderId="0" xfId="11" applyFont="1" applyFill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164" fontId="31" fillId="0" borderId="15" xfId="1" applyFont="1" applyFill="1" applyBorder="1" applyAlignment="1">
      <alignment horizontal="center" vertical="center" wrapText="1"/>
    </xf>
    <xf numFmtId="164" fontId="31" fillId="0" borderId="0" xfId="1" applyFont="1" applyFill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4" fontId="29" fillId="0" borderId="0" xfId="1" applyNumberFormat="1" applyFont="1" applyFill="1" applyBorder="1" applyAlignment="1">
      <alignment horizontal="center" vertical="center" wrapText="1"/>
    </xf>
    <xf numFmtId="4" fontId="31" fillId="0" borderId="0" xfId="1" applyNumberFormat="1" applyFont="1" applyFill="1" applyBorder="1" applyAlignment="1">
      <alignment horizontal="center" vertical="center" wrapText="1"/>
    </xf>
    <xf numFmtId="164" fontId="30" fillId="0" borderId="6" xfId="1" applyFont="1" applyFill="1" applyBorder="1" applyAlignment="1">
      <alignment horizontal="center" vertical="center" wrapText="1"/>
    </xf>
    <xf numFmtId="164" fontId="30" fillId="0" borderId="0" xfId="1" applyFont="1" applyFill="1" applyBorder="1" applyAlignment="1">
      <alignment horizontal="center" vertical="center" wrapText="1"/>
    </xf>
    <xf numFmtId="164" fontId="31" fillId="0" borderId="6" xfId="0" applyNumberFormat="1" applyFont="1" applyBorder="1" applyAlignment="1">
      <alignment horizontal="center" vertical="center" wrapText="1"/>
    </xf>
    <xf numFmtId="0" fontId="30" fillId="0" borderId="0" xfId="6" applyFont="1" applyAlignment="1">
      <alignment horizontal="center" vertical="center" wrapText="1"/>
    </xf>
    <xf numFmtId="0" fontId="38" fillId="0" borderId="14" xfId="6" applyFont="1" applyBorder="1" applyAlignment="1">
      <alignment horizontal="center" vertical="center" wrapText="1"/>
    </xf>
    <xf numFmtId="164" fontId="38" fillId="0" borderId="14" xfId="8" applyFont="1" applyFill="1" applyBorder="1" applyAlignment="1">
      <alignment vertical="center" wrapText="1"/>
    </xf>
    <xf numFmtId="0" fontId="30" fillId="0" borderId="15" xfId="6" applyFont="1" applyBorder="1" applyAlignment="1">
      <alignment horizontal="center" vertical="center" wrapText="1"/>
    </xf>
    <xf numFmtId="0" fontId="30" fillId="0" borderId="15" xfId="6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67" fontId="40" fillId="0" borderId="0" xfId="11" applyFont="1" applyFill="1" applyAlignment="1">
      <alignment horizontal="center" vertical="center" wrapText="1"/>
    </xf>
    <xf numFmtId="0" fontId="43" fillId="0" borderId="15" xfId="6" applyFont="1" applyBorder="1" applyAlignment="1">
      <alignment horizontal="left" vertical="center" wrapText="1"/>
    </xf>
    <xf numFmtId="0" fontId="31" fillId="0" borderId="15" xfId="0" applyFont="1" applyBorder="1" applyAlignment="1">
      <alignment horizontal="center" vertical="center"/>
    </xf>
    <xf numFmtId="164" fontId="31" fillId="0" borderId="15" xfId="1" applyFont="1" applyBorder="1" applyAlignment="1">
      <alignment horizontal="center" vertical="center"/>
    </xf>
    <xf numFmtId="164" fontId="31" fillId="0" borderId="15" xfId="1" applyFont="1" applyFill="1" applyBorder="1" applyAlignment="1">
      <alignment horizontal="center" vertical="center"/>
    </xf>
    <xf numFmtId="167" fontId="6" fillId="0" borderId="0" xfId="11" applyFont="1" applyFill="1" applyAlignment="1">
      <alignment vertical="center" wrapText="1"/>
    </xf>
    <xf numFmtId="167" fontId="6" fillId="0" borderId="0" xfId="11" applyFont="1" applyFill="1" applyBorder="1" applyAlignment="1">
      <alignment vertical="center" wrapText="1"/>
    </xf>
    <xf numFmtId="0" fontId="54" fillId="0" borderId="0" xfId="0" applyFont="1" applyAlignment="1">
      <alignment vertical="center"/>
    </xf>
    <xf numFmtId="164" fontId="6" fillId="0" borderId="0" xfId="1" applyFont="1" applyFill="1" applyBorder="1" applyAlignment="1">
      <alignment horizontal="center" vertical="center" wrapText="1"/>
    </xf>
    <xf numFmtId="164" fontId="42" fillId="0" borderId="33" xfId="1" applyFont="1" applyFill="1" applyBorder="1" applyAlignment="1">
      <alignment vertical="center" wrapText="1"/>
    </xf>
    <xf numFmtId="164" fontId="31" fillId="0" borderId="15" xfId="1" applyFont="1" applyBorder="1" applyAlignment="1">
      <alignment horizontal="center" vertical="center" wrapText="1"/>
    </xf>
    <xf numFmtId="164" fontId="32" fillId="0" borderId="12" xfId="1" applyFont="1" applyBorder="1" applyAlignment="1">
      <alignment horizontal="left" vertical="center" wrapText="1"/>
    </xf>
    <xf numFmtId="164" fontId="31" fillId="0" borderId="14" xfId="1" applyFont="1" applyBorder="1" applyAlignment="1">
      <alignment horizontal="center" vertical="center" wrapText="1"/>
    </xf>
    <xf numFmtId="164" fontId="34" fillId="0" borderId="15" xfId="1" applyFont="1" applyBorder="1" applyAlignment="1">
      <alignment horizontal="right" vertical="center" wrapText="1"/>
    </xf>
    <xf numFmtId="164" fontId="29" fillId="0" borderId="15" xfId="1" applyFont="1" applyBorder="1" applyAlignment="1">
      <alignment horizontal="center" vertical="center" wrapText="1"/>
    </xf>
    <xf numFmtId="164" fontId="31" fillId="0" borderId="15" xfId="1" applyFont="1" applyBorder="1" applyAlignment="1">
      <alignment horizontal="right" vertical="center" wrapText="1"/>
    </xf>
    <xf numFmtId="164" fontId="28" fillId="3" borderId="20" xfId="1" applyFont="1" applyFill="1" applyBorder="1" applyAlignment="1">
      <alignment vertical="center" wrapText="1"/>
    </xf>
    <xf numFmtId="164" fontId="30" fillId="0" borderId="15" xfId="1" applyFont="1" applyFill="1" applyBorder="1" applyAlignment="1">
      <alignment horizontal="center" vertical="center" wrapText="1"/>
    </xf>
    <xf numFmtId="164" fontId="37" fillId="0" borderId="10" xfId="1" applyFont="1" applyBorder="1" applyAlignment="1">
      <alignment horizontal="left" vertical="center" wrapText="1"/>
    </xf>
    <xf numFmtId="164" fontId="30" fillId="0" borderId="6" xfId="1" applyFont="1" applyBorder="1" applyAlignment="1">
      <alignment horizontal="right" vertical="center" wrapText="1"/>
    </xf>
    <xf numFmtId="164" fontId="39" fillId="4" borderId="22" xfId="1" applyFont="1" applyFill="1" applyBorder="1" applyAlignment="1">
      <alignment vertical="center" wrapText="1"/>
    </xf>
    <xf numFmtId="164" fontId="41" fillId="0" borderId="33" xfId="9" applyNumberFormat="1" applyFont="1" applyBorder="1" applyAlignment="1">
      <alignment horizontal="center" vertical="center" wrapText="1"/>
    </xf>
    <xf numFmtId="0" fontId="28" fillId="0" borderId="0" xfId="6" applyFont="1" applyAlignment="1">
      <alignment horizontal="left" vertical="center" wrapText="1"/>
    </xf>
    <xf numFmtId="164" fontId="28" fillId="3" borderId="20" xfId="7" applyFont="1" applyFill="1" applyBorder="1" applyAlignment="1">
      <alignment vertical="center" wrapText="1"/>
    </xf>
    <xf numFmtId="0" fontId="55" fillId="0" borderId="15" xfId="10" applyFont="1" applyBorder="1" applyAlignment="1">
      <alignment horizontal="left" vertical="center" wrapText="1"/>
    </xf>
    <xf numFmtId="174" fontId="55" fillId="0" borderId="15" xfId="1" applyNumberFormat="1" applyFont="1" applyBorder="1" applyAlignment="1">
      <alignment horizontal="center" vertical="center" wrapText="1"/>
    </xf>
    <xf numFmtId="164" fontId="56" fillId="0" borderId="7" xfId="1" applyFont="1" applyFill="1" applyBorder="1" applyAlignment="1">
      <alignment horizontal="center" vertical="center" wrapText="1"/>
    </xf>
    <xf numFmtId="0" fontId="57" fillId="0" borderId="15" xfId="10" applyFont="1" applyBorder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9" fillId="0" borderId="7" xfId="0" applyFont="1" applyBorder="1" applyAlignment="1">
      <alignment horizontal="left" vertical="center" wrapText="1"/>
    </xf>
    <xf numFmtId="0" fontId="35" fillId="0" borderId="7" xfId="6" applyFont="1" applyBorder="1" applyAlignment="1">
      <alignment horizontal="left" vertical="center" wrapText="1"/>
    </xf>
    <xf numFmtId="0" fontId="28" fillId="0" borderId="7" xfId="6" applyFont="1" applyBorder="1" applyAlignment="1">
      <alignment horizontal="left" vertical="center" wrapText="1"/>
    </xf>
    <xf numFmtId="0" fontId="55" fillId="0" borderId="0" xfId="10" applyFont="1" applyAlignment="1">
      <alignment horizontal="left" vertical="center" wrapText="1"/>
    </xf>
    <xf numFmtId="0" fontId="29" fillId="0" borderId="15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6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vertical="center" wrapText="1"/>
    </xf>
    <xf numFmtId="0" fontId="26" fillId="2" borderId="7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1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4" fillId="0" borderId="47" xfId="0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29" fillId="0" borderId="47" xfId="0" applyFont="1" applyBorder="1" applyAlignment="1">
      <alignment horizontal="left" vertical="center" wrapText="1"/>
    </xf>
    <xf numFmtId="0" fontId="31" fillId="0" borderId="47" xfId="0" applyFont="1" applyBorder="1" applyAlignment="1">
      <alignment horizontal="left" vertical="center" wrapText="1"/>
    </xf>
    <xf numFmtId="0" fontId="0" fillId="0" borderId="47" xfId="0" applyBorder="1" applyAlignment="1">
      <alignment vertical="center" wrapText="1"/>
    </xf>
    <xf numFmtId="0" fontId="43" fillId="0" borderId="14" xfId="0" applyFont="1" applyBorder="1" applyAlignment="1">
      <alignment horizontal="left" vertical="center" wrapText="1"/>
    </xf>
    <xf numFmtId="0" fontId="43" fillId="0" borderId="15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164" fontId="30" fillId="0" borderId="15" xfId="1" applyFont="1" applyFill="1" applyBorder="1" applyAlignment="1">
      <alignment horizontal="right" vertical="center" wrapText="1"/>
    </xf>
    <xf numFmtId="0" fontId="30" fillId="0" borderId="15" xfId="0" applyFont="1" applyBorder="1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0" fontId="31" fillId="0" borderId="0" xfId="0" applyFont="1" applyAlignment="1">
      <alignment horizontal="left" vertical="center"/>
    </xf>
    <xf numFmtId="0" fontId="58" fillId="0" borderId="15" xfId="10" applyFont="1" applyBorder="1" applyAlignment="1">
      <alignment horizontal="left" vertical="center" wrapText="1"/>
    </xf>
    <xf numFmtId="164" fontId="0" fillId="0" borderId="14" xfId="1" applyFont="1" applyBorder="1" applyAlignment="1">
      <alignment vertical="center" wrapText="1"/>
    </xf>
    <xf numFmtId="164" fontId="0" fillId="0" borderId="15" xfId="1" applyFont="1" applyBorder="1" applyAlignment="1">
      <alignment vertical="center" wrapText="1"/>
    </xf>
    <xf numFmtId="164" fontId="0" fillId="0" borderId="16" xfId="1" applyFont="1" applyBorder="1" applyAlignment="1">
      <alignment vertical="center" wrapText="1"/>
    </xf>
    <xf numFmtId="164" fontId="31" fillId="0" borderId="6" xfId="1" applyFont="1" applyFill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48" xfId="0" applyFont="1" applyBorder="1" applyAlignment="1">
      <alignment horizontal="left" vertical="center" wrapText="1"/>
    </xf>
    <xf numFmtId="164" fontId="31" fillId="0" borderId="48" xfId="1" applyFont="1" applyFill="1" applyBorder="1" applyAlignment="1">
      <alignment horizontal="center" vertical="center" wrapText="1"/>
    </xf>
    <xf numFmtId="164" fontId="31" fillId="0" borderId="48" xfId="1" applyFont="1" applyBorder="1" applyAlignment="1">
      <alignment horizontal="center" vertical="center" wrapText="1"/>
    </xf>
    <xf numFmtId="164" fontId="31" fillId="0" borderId="49" xfId="1" applyFont="1" applyFill="1" applyBorder="1" applyAlignment="1">
      <alignment horizontal="center" vertical="center" wrapText="1"/>
    </xf>
    <xf numFmtId="0" fontId="56" fillId="0" borderId="7" xfId="10" applyFont="1" applyBorder="1" applyAlignment="1">
      <alignment horizontal="center" vertical="center" wrapText="1"/>
    </xf>
    <xf numFmtId="164" fontId="0" fillId="0" borderId="15" xfId="1" applyFont="1" applyFill="1" applyBorder="1" applyAlignment="1">
      <alignment vertical="center" wrapText="1"/>
    </xf>
    <xf numFmtId="164" fontId="31" fillId="0" borderId="14" xfId="1" applyFont="1" applyFill="1" applyBorder="1" applyAlignment="1">
      <alignment horizontal="center" vertical="center" wrapText="1"/>
    </xf>
    <xf numFmtId="164" fontId="30" fillId="0" borderId="0" xfId="1" applyFont="1" applyFill="1" applyBorder="1" applyAlignment="1">
      <alignment horizontal="center" vertical="top" wrapText="1"/>
    </xf>
    <xf numFmtId="0" fontId="28" fillId="0" borderId="15" xfId="0" applyFont="1" applyBorder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59" fillId="0" borderId="0" xfId="0" applyFont="1" applyAlignment="1">
      <alignment horizontal="center" vertical="center" wrapText="1"/>
    </xf>
    <xf numFmtId="0" fontId="30" fillId="0" borderId="7" xfId="6" applyFont="1" applyBorder="1" applyAlignment="1">
      <alignment horizontal="left" vertical="center" wrapText="1"/>
    </xf>
    <xf numFmtId="0" fontId="30" fillId="0" borderId="15" xfId="6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45" fillId="3" borderId="12" xfId="0" applyFont="1" applyFill="1" applyBorder="1" applyAlignment="1">
      <alignment horizontal="center" vertical="center" wrapText="1"/>
    </xf>
    <xf numFmtId="0" fontId="39" fillId="4" borderId="17" xfId="0" applyFont="1" applyFill="1" applyBorder="1" applyAlignment="1">
      <alignment horizontal="center" vertical="center" wrapText="1"/>
    </xf>
    <xf numFmtId="0" fontId="39" fillId="4" borderId="18" xfId="0" applyFont="1" applyFill="1" applyBorder="1" applyAlignment="1">
      <alignment horizontal="center" vertical="center" wrapText="1"/>
    </xf>
    <xf numFmtId="0" fontId="39" fillId="4" borderId="32" xfId="0" applyFont="1" applyFill="1" applyBorder="1" applyAlignment="1">
      <alignment horizontal="center" vertical="center" wrapText="1"/>
    </xf>
    <xf numFmtId="0" fontId="44" fillId="3" borderId="17" xfId="0" applyFont="1" applyFill="1" applyBorder="1" applyAlignment="1">
      <alignment horizontal="left" vertical="center" wrapText="1"/>
    </xf>
    <xf numFmtId="0" fontId="44" fillId="3" borderId="18" xfId="0" applyFont="1" applyFill="1" applyBorder="1" applyAlignment="1">
      <alignment horizontal="left" vertical="center" wrapText="1"/>
    </xf>
    <xf numFmtId="0" fontId="44" fillId="3" borderId="20" xfId="0" applyFont="1" applyFill="1" applyBorder="1" applyAlignment="1">
      <alignment horizontal="left" vertical="center" wrapText="1"/>
    </xf>
    <xf numFmtId="0" fontId="43" fillId="3" borderId="18" xfId="6" applyFont="1" applyFill="1" applyBorder="1" applyAlignment="1">
      <alignment horizontal="center" vertical="center" wrapText="1"/>
    </xf>
    <xf numFmtId="0" fontId="45" fillId="3" borderId="17" xfId="0" applyFont="1" applyFill="1" applyBorder="1" applyAlignment="1">
      <alignment horizontal="center" vertical="center" wrapText="1"/>
    </xf>
    <xf numFmtId="0" fontId="45" fillId="3" borderId="18" xfId="0" applyFont="1" applyFill="1" applyBorder="1" applyAlignment="1">
      <alignment horizontal="center" vertical="center" wrapText="1"/>
    </xf>
    <xf numFmtId="0" fontId="45" fillId="3" borderId="20" xfId="0" applyFont="1" applyFill="1" applyBorder="1" applyAlignment="1">
      <alignment horizontal="center" vertical="center" wrapText="1"/>
    </xf>
    <xf numFmtId="0" fontId="43" fillId="3" borderId="17" xfId="6" applyFont="1" applyFill="1" applyBorder="1" applyAlignment="1">
      <alignment horizontal="center" vertical="center" wrapText="1"/>
    </xf>
    <xf numFmtId="0" fontId="44" fillId="3" borderId="17" xfId="0" applyFont="1" applyFill="1" applyBorder="1" applyAlignment="1">
      <alignment horizontal="center" vertical="center" wrapText="1"/>
    </xf>
    <xf numFmtId="0" fontId="44" fillId="3" borderId="18" xfId="0" applyFont="1" applyFill="1" applyBorder="1" applyAlignment="1">
      <alignment horizontal="center" vertical="center" wrapText="1"/>
    </xf>
    <xf numFmtId="0" fontId="44" fillId="3" borderId="20" xfId="0" applyFont="1" applyFill="1" applyBorder="1" applyAlignment="1">
      <alignment horizontal="center" vertical="center" wrapText="1"/>
    </xf>
    <xf numFmtId="0" fontId="47" fillId="4" borderId="3" xfId="0" applyFont="1" applyFill="1" applyBorder="1" applyAlignment="1">
      <alignment horizontal="center" vertical="center" wrapText="1"/>
    </xf>
    <xf numFmtId="0" fontId="47" fillId="4" borderId="35" xfId="0" applyFont="1" applyFill="1" applyBorder="1" applyAlignment="1">
      <alignment horizontal="center" vertical="center" wrapText="1"/>
    </xf>
    <xf numFmtId="164" fontId="47" fillId="4" borderId="3" xfId="1" applyFont="1" applyFill="1" applyBorder="1" applyAlignment="1">
      <alignment horizontal="center" vertical="center" wrapText="1"/>
    </xf>
    <xf numFmtId="164" fontId="47" fillId="4" borderId="8" xfId="1" applyFont="1" applyFill="1" applyBorder="1" applyAlignment="1">
      <alignment horizontal="center" vertical="center" wrapText="1"/>
    </xf>
    <xf numFmtId="164" fontId="47" fillId="4" borderId="2" xfId="1" applyFont="1" applyFill="1" applyBorder="1" applyAlignment="1">
      <alignment horizontal="center" vertical="center" wrapText="1"/>
    </xf>
    <xf numFmtId="164" fontId="25" fillId="0" borderId="4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center" vertical="center" wrapText="1"/>
    </xf>
    <xf numFmtId="164" fontId="25" fillId="0" borderId="19" xfId="0" applyNumberFormat="1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center" vertical="center" wrapText="1"/>
    </xf>
    <xf numFmtId="164" fontId="25" fillId="0" borderId="43" xfId="0" applyNumberFormat="1" applyFont="1" applyBorder="1" applyAlignment="1">
      <alignment horizontal="center" vertical="center" wrapText="1"/>
    </xf>
    <xf numFmtId="164" fontId="25" fillId="0" borderId="38" xfId="0" applyNumberFormat="1" applyFont="1" applyBorder="1" applyAlignment="1">
      <alignment horizontal="center" vertical="center" wrapText="1"/>
    </xf>
    <xf numFmtId="164" fontId="25" fillId="0" borderId="44" xfId="0" applyNumberFormat="1" applyFont="1" applyBorder="1" applyAlignment="1">
      <alignment horizontal="center" vertical="center" wrapText="1"/>
    </xf>
    <xf numFmtId="164" fontId="25" fillId="0" borderId="36" xfId="0" applyNumberFormat="1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9" fillId="4" borderId="20" xfId="0" applyFont="1" applyFill="1" applyBorder="1" applyAlignment="1">
      <alignment horizontal="center" vertical="center" wrapText="1"/>
    </xf>
    <xf numFmtId="0" fontId="44" fillId="3" borderId="12" xfId="0" applyFont="1" applyFill="1" applyBorder="1" applyAlignment="1">
      <alignment horizontal="left" vertical="center" wrapText="1"/>
    </xf>
    <xf numFmtId="0" fontId="45" fillId="3" borderId="14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164" fontId="25" fillId="0" borderId="45" xfId="0" applyNumberFormat="1" applyFont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center" vertical="center" wrapText="1"/>
    </xf>
    <xf numFmtId="164" fontId="25" fillId="0" borderId="50" xfId="0" applyNumberFormat="1" applyFont="1" applyBorder="1" applyAlignment="1">
      <alignment horizontal="center" vertical="center" wrapText="1"/>
    </xf>
    <xf numFmtId="0" fontId="44" fillId="3" borderId="9" xfId="0" applyFont="1" applyFill="1" applyBorder="1" applyAlignment="1">
      <alignment horizontal="left" vertical="center" wrapText="1"/>
    </xf>
    <xf numFmtId="0" fontId="45" fillId="3" borderId="16" xfId="0" applyFont="1" applyFill="1" applyBorder="1" applyAlignment="1">
      <alignment horizontal="center" vertical="center" wrapText="1"/>
    </xf>
    <xf numFmtId="167" fontId="40" fillId="0" borderId="0" xfId="11" applyFont="1" applyFill="1" applyAlignment="1">
      <alignment horizontal="center" vertical="center" wrapText="1"/>
    </xf>
    <xf numFmtId="0" fontId="27" fillId="2" borderId="3" xfId="0" applyFont="1" applyFill="1" applyBorder="1" applyAlignment="1">
      <alignment horizontal="left" vertical="center" wrapText="1"/>
    </xf>
    <xf numFmtId="0" fontId="38" fillId="0" borderId="12" xfId="10" applyFont="1" applyBorder="1" applyAlignment="1">
      <alignment horizontal="left" vertical="center" wrapText="1"/>
    </xf>
    <xf numFmtId="0" fontId="38" fillId="0" borderId="12" xfId="1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4" fontId="28" fillId="0" borderId="21" xfId="0" applyNumberFormat="1" applyFont="1" applyBorder="1" applyAlignment="1">
      <alignment horizontal="center" vertical="center" wrapText="1"/>
    </xf>
    <xf numFmtId="164" fontId="28" fillId="0" borderId="11" xfId="1" applyFont="1" applyBorder="1" applyAlignment="1">
      <alignment horizontal="center" vertical="center" wrapText="1"/>
    </xf>
    <xf numFmtId="9" fontId="28" fillId="0" borderId="14" xfId="87" applyFont="1" applyBorder="1" applyAlignment="1">
      <alignment horizontal="center" vertical="center" wrapText="1"/>
    </xf>
    <xf numFmtId="164" fontId="47" fillId="4" borderId="46" xfId="1" applyFont="1" applyFill="1" applyBorder="1" applyAlignment="1">
      <alignment horizontal="center" vertical="center" wrapText="1"/>
    </xf>
    <xf numFmtId="164" fontId="47" fillId="4" borderId="35" xfId="1" applyFont="1" applyFill="1" applyBorder="1" applyAlignment="1">
      <alignment horizontal="center" vertical="center" wrapText="1"/>
    </xf>
    <xf numFmtId="164" fontId="47" fillId="4" borderId="51" xfId="1" applyFont="1" applyFill="1" applyBorder="1" applyAlignment="1">
      <alignment horizontal="center" vertical="center" wrapText="1"/>
    </xf>
  </cellXfs>
  <cellStyles count="105">
    <cellStyle name="20 % - Accent1 2" xfId="15" xr:uid="{52BA5FD4-BD0F-4ED4-95D6-33A2B013F4D8}"/>
    <cellStyle name="20 % - Accent2 2" xfId="16" xr:uid="{C7B899F1-7D20-4942-BDEE-86EDE2BB1B00}"/>
    <cellStyle name="20 % - Accent3 2" xfId="17" xr:uid="{80F6EE9E-7726-4A39-AFD2-1D5560EDB2D0}"/>
    <cellStyle name="20 % - Accent4 2" xfId="18" xr:uid="{2F7C379A-5B69-4C09-8524-278390609022}"/>
    <cellStyle name="20 % - Accent5 2" xfId="19" xr:uid="{79BC739D-F3FB-410D-9DD8-DAB8D932BC05}"/>
    <cellStyle name="20 % - Accent6 2" xfId="20" xr:uid="{A7DB940D-CF8D-4896-8C91-6CABC707F1FD}"/>
    <cellStyle name="40 % - Accent1 2" xfId="21" xr:uid="{099EAF78-E08D-440A-A7F8-26AD514A63E7}"/>
    <cellStyle name="40 % - Accent2 2" xfId="22" xr:uid="{9A83FBB6-0D0E-412A-87E9-167AD327A3CE}"/>
    <cellStyle name="40 % - Accent3 2" xfId="23" xr:uid="{F7C2BC00-2E18-4B78-B058-8E6A952F31DF}"/>
    <cellStyle name="40 % - Accent4 2" xfId="24" xr:uid="{12DEEA22-A896-47AF-A64F-18E08A574BE5}"/>
    <cellStyle name="40 % - Accent5 2" xfId="25" xr:uid="{66A6C74A-1911-4025-8FEB-EFE1D0065830}"/>
    <cellStyle name="40 % - Accent6 2" xfId="26" xr:uid="{4A88022B-BE7D-4D8A-8BBC-A2C40266E4AE}"/>
    <cellStyle name="60 % - Accent1 2" xfId="27" xr:uid="{D1B7D499-E943-4448-B459-CD8644E9BC1B}"/>
    <cellStyle name="60 % - Accent2 2" xfId="28" xr:uid="{5635E888-60E2-4A99-8E34-64DF30F180CD}"/>
    <cellStyle name="60 % - Accent3 2" xfId="29" xr:uid="{7DE66AB7-FEBC-4CD9-9498-0B5E3D6C8BA7}"/>
    <cellStyle name="60 % - Accent4 2" xfId="30" xr:uid="{2ECCDECD-5681-4455-A816-B7061570FA1A}"/>
    <cellStyle name="60 % - Accent5 2" xfId="31" xr:uid="{281D5FA0-F43E-4632-8E04-E1E2AD8B08FF}"/>
    <cellStyle name="60 % - Accent6 2" xfId="32" xr:uid="{15820E5E-6E1F-4B42-952D-5C90E3542772}"/>
    <cellStyle name="Accent1 2" xfId="33" xr:uid="{FA4E4ABD-BC93-456B-BDBE-F50F359893CA}"/>
    <cellStyle name="Accent2 2" xfId="34" xr:uid="{5B3F2CCF-697C-40A9-95CD-077E0C244B97}"/>
    <cellStyle name="Accent3 2" xfId="35" xr:uid="{7D1D8CB0-2945-4774-9FC6-A3CDAE3BB57C}"/>
    <cellStyle name="Accent4 2" xfId="36" xr:uid="{9791AB01-04A2-49A9-9AD4-90D8D23D51F1}"/>
    <cellStyle name="Accent5 2" xfId="37" xr:uid="{D8B6844C-2FA3-4FBC-AD4F-1E1B16D2D081}"/>
    <cellStyle name="Accent6 2" xfId="38" xr:uid="{032E0A0C-829F-4884-BC45-26A726FF1A96}"/>
    <cellStyle name="Avertissement 2" xfId="39" xr:uid="{48ABFDEB-915B-4D67-B1F3-7A6029A2F2EF}"/>
    <cellStyle name="Calcul 2" xfId="40" xr:uid="{8FA9B9FC-1E65-4F49-9B1C-2E34B07B2A86}"/>
    <cellStyle name="Cellule liée 2" xfId="41" xr:uid="{D714A8EE-52BB-452A-B6DA-922A328BEE3F}"/>
    <cellStyle name="DiRootsFullNameTitleStyle" xfId="90" xr:uid="{72B00809-5303-4879-88BB-C7123F0743AB}"/>
    <cellStyle name="DiRootsHeaderStyle" xfId="89" xr:uid="{9A89A236-2357-4A27-9C40-93F5BE115039}"/>
    <cellStyle name="Entrée 2" xfId="43" xr:uid="{43969B6E-1925-42DA-B6CF-8E30AF8FAD82}"/>
    <cellStyle name="Euro" xfId="44" xr:uid="{686D69F8-2556-401B-8200-264B8C5D359E}"/>
    <cellStyle name="Euro 2" xfId="45" xr:uid="{C8A95B4D-2D12-48B2-A395-1D7471845086}"/>
    <cellStyle name="Insatisfaisant 2" xfId="46" xr:uid="{6A3E053B-637E-4A94-902D-35D4B0E2378B}"/>
    <cellStyle name="Migliaia 2" xfId="91" xr:uid="{4B2D5D61-78E0-4C5F-B487-D935311B105B}"/>
    <cellStyle name="Milliers" xfId="1" builtinId="3"/>
    <cellStyle name="Milliers 10" xfId="83" xr:uid="{87573DEA-1943-4533-B7E2-CD41D1E3A1BF}"/>
    <cellStyle name="Milliers 11" xfId="99" xr:uid="{85CB18BC-F210-4BAE-BABA-8F9F9462B717}"/>
    <cellStyle name="Milliers 2" xfId="47" xr:uid="{B54AE198-205E-4E16-98D9-358D4E99EC19}"/>
    <cellStyle name="Milliers 2 2" xfId="48" xr:uid="{4C6E9716-CF67-48AA-BD46-0273DC7A41CE}"/>
    <cellStyle name="Milliers 2 2 2" xfId="49" xr:uid="{B61B48CB-2129-4C42-853F-86E1D84FFA64}"/>
    <cellStyle name="Milliers 2 2 3" xfId="104" xr:uid="{C3A92A11-D68A-4917-BF40-EEFE6ABA6E5A}"/>
    <cellStyle name="Milliers 2 3" xfId="75" xr:uid="{3397595A-DA82-4DCC-89E1-99853777B872}"/>
    <cellStyle name="Milliers 2 4" xfId="7" xr:uid="{00000000-0005-0000-0000-000001000000}"/>
    <cellStyle name="Milliers 2 4 2" xfId="92" xr:uid="{5114879A-976C-4D03-A2A4-95A9E74A37A6}"/>
    <cellStyle name="Milliers 2 5" xfId="100" xr:uid="{7A970B30-E2DE-4DC6-A610-BA491F19E562}"/>
    <cellStyle name="Milliers 2_BORDEREAUX DES PRIX COURANTS FAIBLES" xfId="50" xr:uid="{45D44A1A-24A1-44FB-87DC-57DDED681A80}"/>
    <cellStyle name="Milliers 3" xfId="51" xr:uid="{FD6360A1-BC17-4F19-8C42-6EB7E3DEE57A}"/>
    <cellStyle name="Milliers 3 2" xfId="52" xr:uid="{96D6CA8E-C6B9-43E9-BF61-4D1FD0B6F19F}"/>
    <cellStyle name="Milliers 3 2 2" xfId="53" xr:uid="{DFC426B4-9EBD-4A2A-A1FC-13317A3AF089}"/>
    <cellStyle name="Milliers 3 3" xfId="54" xr:uid="{E2FE336B-EACA-48BA-B8DC-E363C56F56F2}"/>
    <cellStyle name="Milliers 4" xfId="55" xr:uid="{F7981D54-11BD-434F-AC39-6674CA06F155}"/>
    <cellStyle name="Milliers 4 2" xfId="8" xr:uid="{00000000-0005-0000-0000-000002000000}"/>
    <cellStyle name="Milliers 4 3" xfId="79" xr:uid="{89860DD0-D951-4362-9432-8FD3F8581256}"/>
    <cellStyle name="Milliers 4 4" xfId="95" xr:uid="{58E12E1A-D7A3-444E-A691-760E2EF4DD5E}"/>
    <cellStyle name="Milliers 5" xfId="56" xr:uid="{4AC02A25-F874-4C20-A3CA-6F63D605A3C0}"/>
    <cellStyle name="Milliers 5 2" xfId="57" xr:uid="{F1F33440-E22E-4C07-A0D4-E4457EA6A293}"/>
    <cellStyle name="Milliers 6" xfId="58" xr:uid="{744DF972-9104-4DF6-A098-2DB96E52E292}"/>
    <cellStyle name="Milliers 6 2" xfId="5" xr:uid="{00000000-0005-0000-0000-000003000000}"/>
    <cellStyle name="Milliers 7" xfId="4" xr:uid="{00000000-0005-0000-0000-000004000000}"/>
    <cellStyle name="Milliers 7 2" xfId="59" xr:uid="{5991BEE8-F568-48A1-9142-BA9E6CBA91AC}"/>
    <cellStyle name="Milliers 8" xfId="13" xr:uid="{00000000-0005-0000-0000-000005000000}"/>
    <cellStyle name="Milliers 8 2" xfId="76" xr:uid="{2A679AC2-211C-407F-BC1B-38AD032E6259}"/>
    <cellStyle name="Milliers 9" xfId="78" xr:uid="{7EBAAF94-AD33-4E29-9EDE-13B22A00247E}"/>
    <cellStyle name="Monétaire 2" xfId="60" xr:uid="{811B9A1D-F381-4755-A5F7-8CBCEEDE2FD2}"/>
    <cellStyle name="Monétaire 2 2" xfId="2" xr:uid="{00000000-0005-0000-0000-000006000000}"/>
    <cellStyle name="Monétaire 2 2 3" xfId="11" xr:uid="{00000000-0005-0000-0000-000007000000}"/>
    <cellStyle name="Monétaire 3" xfId="80" xr:uid="{8B3B7C59-A011-4EB3-B30C-0334BC942C52}"/>
    <cellStyle name="Monétaire 3 2" xfId="97" xr:uid="{0AE3874E-5C4D-4F86-B529-D07A824DADCF}"/>
    <cellStyle name="Monétaire 4" xfId="101" xr:uid="{1522816A-E58C-4A0D-9D0D-1A26CF258C14}"/>
    <cellStyle name="Neutre 2" xfId="61" xr:uid="{F44379C5-2438-45E2-982A-641CE87F7E3F}"/>
    <cellStyle name="Normal" xfId="0" builtinId="0"/>
    <cellStyle name="Normal - Style1" xfId="12" xr:uid="{00000000-0005-0000-0000-000009000000}"/>
    <cellStyle name="Normal 12" xfId="88" xr:uid="{3E5001FF-3C58-4B46-944C-07B8D9E67281}"/>
    <cellStyle name="Normal 2" xfId="62" xr:uid="{5B9EA451-FB67-4A9C-8541-6FE0D4336168}"/>
    <cellStyle name="Normal 2 2" xfId="9" xr:uid="{00000000-0005-0000-0000-00000A000000}"/>
    <cellStyle name="Normal 2 2 2" xfId="77" xr:uid="{6786647B-3DC8-4221-A299-E84F2561A3FB}"/>
    <cellStyle name="Normal 2 3" xfId="6" xr:uid="{00000000-0005-0000-0000-00000B000000}"/>
    <cellStyle name="Normal 2 4" xfId="93" xr:uid="{5431273B-87F9-4066-979C-B4DC95AF8F8A}"/>
    <cellStyle name="Normal 22" xfId="102" xr:uid="{1124A5EA-5D85-43D6-A2F0-5EDD3F7B3269}"/>
    <cellStyle name="Normal 3" xfId="63" xr:uid="{AB3F7FB4-3F45-4667-B004-430929638B06}"/>
    <cellStyle name="Normal 3 2" xfId="3" xr:uid="{00000000-0005-0000-0000-00000C000000}"/>
    <cellStyle name="Normal 4" xfId="81" xr:uid="{C5B95AB8-FA13-4B07-B0B1-78C51F6A1442}"/>
    <cellStyle name="Normal 4 2" xfId="82" xr:uid="{8C7CED10-05FE-4E40-A2F4-82B80D9AE660}"/>
    <cellStyle name="Normal 4 3" xfId="86" xr:uid="{DFEBD78A-E30A-4CE3-9813-DB32B7B570D4}"/>
    <cellStyle name="Normal 5" xfId="14" xr:uid="{2748BDAF-3C19-4A0B-8E99-1A5D0148F24A}"/>
    <cellStyle name="Normal 5 2" xfId="94" xr:uid="{53980B34-12B9-43E6-AE1E-24F0E63A334F}"/>
    <cellStyle name="Normal 6" xfId="74" xr:uid="{87CDE2C6-338A-49D1-A1C3-A0A8A5C23855}"/>
    <cellStyle name="Normal 6 2" xfId="96" xr:uid="{1D236C4B-2A3F-4838-9D6C-2D56B17634C9}"/>
    <cellStyle name="Normal 7" xfId="98" xr:uid="{84F67BE4-DC1B-44FB-AA65-92B39CE56C25}"/>
    <cellStyle name="Normal 8" xfId="103" xr:uid="{723027B0-BC61-464F-9B98-5235623C259D}"/>
    <cellStyle name="Normal_BP-1" xfId="10" xr:uid="{00000000-0005-0000-0000-00000D000000}"/>
    <cellStyle name="Note 2" xfId="42" xr:uid="{72040142-17BE-4EAA-B15C-3104F036183A}"/>
    <cellStyle name="Pourcentage" xfId="87" builtinId="5"/>
    <cellStyle name="Pourcentage 2" xfId="84" xr:uid="{0E1CBFFF-BA53-48AF-92D4-0D6F52D82142}"/>
    <cellStyle name="Pourcentage 2 2" xfId="85" xr:uid="{E4946B14-702F-443E-934E-A8AA31D6A54A}"/>
    <cellStyle name="Satisfaisant 2" xfId="64" xr:uid="{D8DAD077-3F7F-4525-BD5E-105B494B0452}"/>
    <cellStyle name="Sortie 2" xfId="65" xr:uid="{10E91094-4EB5-476F-A2C0-0C30EBDD4792}"/>
    <cellStyle name="Texte explicatif 2" xfId="66" xr:uid="{FCE5D4D0-0308-4273-BDB7-2ECC7F90C89C}"/>
    <cellStyle name="Titre 2" xfId="67" xr:uid="{FF0724CE-339C-4770-AC3D-8463837A4039}"/>
    <cellStyle name="Titre 1 2" xfId="68" xr:uid="{114F98C1-B59F-4075-8786-9560828A7D99}"/>
    <cellStyle name="Titre 2 2" xfId="69" xr:uid="{FC4861E7-DCDF-4F84-91F1-E4FA0621F204}"/>
    <cellStyle name="Titre 3 2" xfId="70" xr:uid="{DF91289F-58D0-4BB3-9C5F-1F474C41F6AA}"/>
    <cellStyle name="Titre 4 2" xfId="71" xr:uid="{447E9177-5805-4C60-B8D3-93042D60ED03}"/>
    <cellStyle name="Total 2" xfId="72" xr:uid="{10D2D3A3-684A-4258-9160-5F1AB370BAD9}"/>
    <cellStyle name="Vérification 2" xfId="73" xr:uid="{FDD81C28-45C9-4220-82D7-81B9CCAE476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212</xdr:row>
      <xdr:rowOff>0</xdr:rowOff>
    </xdr:from>
    <xdr:ext cx="76200" cy="1905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5BD8403-144D-4F80-8780-C395D5AD3BC4}"/>
            </a:ext>
          </a:extLst>
        </xdr:cNvPr>
        <xdr:cNvSpPr txBox="1"/>
      </xdr:nvSpPr>
      <xdr:spPr>
        <a:xfrm>
          <a:off x="7597140" y="6743700"/>
          <a:ext cx="76200" cy="190500"/>
        </a:xfrm>
        <a:prstGeom prst="rect">
          <a:avLst/>
        </a:prstGeom>
        <a:noFill/>
        <a:ln w="9525">
          <a:noFill/>
        </a:ln>
      </xdr:spPr>
      <xdr:txBody>
        <a:bodyPr rtlCol="0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212</xdr:row>
      <xdr:rowOff>0</xdr:rowOff>
    </xdr:from>
    <xdr:ext cx="76200" cy="19050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ED308F5-028D-4761-BFA3-4F2B79BC1AAC}"/>
            </a:ext>
          </a:extLst>
        </xdr:cNvPr>
        <xdr:cNvSpPr txBox="1"/>
      </xdr:nvSpPr>
      <xdr:spPr>
        <a:xfrm>
          <a:off x="7597140" y="6743700"/>
          <a:ext cx="76200" cy="190500"/>
        </a:xfrm>
        <a:prstGeom prst="rect">
          <a:avLst/>
        </a:prstGeom>
        <a:noFill/>
        <a:ln w="9525">
          <a:noFill/>
        </a:ln>
      </xdr:spPr>
      <xdr:txBody>
        <a:bodyPr rtlCol="0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212</xdr:row>
      <xdr:rowOff>0</xdr:rowOff>
    </xdr:from>
    <xdr:ext cx="76200" cy="190500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F2370B7-C9B5-490F-8EB9-A5143CBC495F}"/>
            </a:ext>
          </a:extLst>
        </xdr:cNvPr>
        <xdr:cNvSpPr txBox="1"/>
      </xdr:nvSpPr>
      <xdr:spPr>
        <a:xfrm>
          <a:off x="7597140" y="6743700"/>
          <a:ext cx="76200" cy="190500"/>
        </a:xfrm>
        <a:prstGeom prst="rect">
          <a:avLst/>
        </a:prstGeom>
        <a:noFill/>
        <a:ln w="9525">
          <a:noFill/>
        </a:ln>
      </xdr:spPr>
      <xdr:txBody>
        <a:bodyPr rtlCol="0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212</xdr:row>
      <xdr:rowOff>0</xdr:rowOff>
    </xdr:from>
    <xdr:ext cx="76200" cy="190500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46441433-468F-4CC5-9A6D-8B7466929A4E}"/>
            </a:ext>
          </a:extLst>
        </xdr:cNvPr>
        <xdr:cNvSpPr txBox="1"/>
      </xdr:nvSpPr>
      <xdr:spPr>
        <a:xfrm>
          <a:off x="7597140" y="6743700"/>
          <a:ext cx="76200" cy="190500"/>
        </a:xfrm>
        <a:prstGeom prst="rect">
          <a:avLst/>
        </a:prstGeom>
        <a:noFill/>
        <a:ln w="9525">
          <a:noFill/>
        </a:ln>
      </xdr:spPr>
      <xdr:txBody>
        <a:bodyPr rtlCol="0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212</xdr:row>
      <xdr:rowOff>0</xdr:rowOff>
    </xdr:from>
    <xdr:ext cx="76200" cy="190500"/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C04D9635-81B8-4112-A740-C02CA26A63CE}"/>
            </a:ext>
          </a:extLst>
        </xdr:cNvPr>
        <xdr:cNvSpPr txBox="1"/>
      </xdr:nvSpPr>
      <xdr:spPr>
        <a:xfrm>
          <a:off x="7597140" y="6743700"/>
          <a:ext cx="76200" cy="190500"/>
        </a:xfrm>
        <a:prstGeom prst="rect">
          <a:avLst/>
        </a:prstGeom>
        <a:noFill/>
        <a:ln w="9525">
          <a:noFill/>
        </a:ln>
      </xdr:spPr>
      <xdr:txBody>
        <a:bodyPr rtlCol="0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212</xdr:row>
      <xdr:rowOff>0</xdr:rowOff>
    </xdr:from>
    <xdr:ext cx="76200" cy="190500"/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D9F10603-A859-48DC-A837-79DE158DBD35}"/>
            </a:ext>
          </a:extLst>
        </xdr:cNvPr>
        <xdr:cNvSpPr txBox="1"/>
      </xdr:nvSpPr>
      <xdr:spPr>
        <a:xfrm>
          <a:off x="7597140" y="6743700"/>
          <a:ext cx="76200" cy="190500"/>
        </a:xfrm>
        <a:prstGeom prst="rect">
          <a:avLst/>
        </a:prstGeom>
        <a:noFill/>
        <a:ln w="9525">
          <a:noFill/>
        </a:ln>
      </xdr:spPr>
      <xdr:txBody>
        <a:bodyPr rtlCol="0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D935-9FC6-4E0B-A3B9-2137637B5E81}">
  <dimension ref="A1:M290"/>
  <sheetViews>
    <sheetView tabSelected="1" zoomScale="55" zoomScaleNormal="55" zoomScalePageLayoutView="70" workbookViewId="0">
      <selection activeCell="A9" sqref="A9:F9"/>
    </sheetView>
  </sheetViews>
  <sheetFormatPr baseColWidth="10" defaultColWidth="11.42578125" defaultRowHeight="15" x14ac:dyDescent="0.25"/>
  <cols>
    <col min="1" max="1" width="15.42578125" style="73" customWidth="1"/>
    <col min="2" max="2" width="127.5703125" style="68" customWidth="1"/>
    <col min="3" max="3" width="25.7109375" style="32" customWidth="1"/>
    <col min="4" max="4" width="13.140625" style="68" customWidth="1"/>
    <col min="5" max="5" width="21.28515625" style="68" customWidth="1"/>
    <col min="6" max="6" width="41.28515625" style="74" customWidth="1"/>
    <col min="7" max="7" width="11.42578125" style="68"/>
    <col min="8" max="8" width="18.5703125" style="74" customWidth="1"/>
    <col min="9" max="16384" width="11.42578125" style="68"/>
  </cols>
  <sheetData>
    <row r="1" spans="1:6" ht="106.5" customHeight="1" thickBot="1" x14ac:dyDescent="0.3">
      <c r="A1" s="160" t="s">
        <v>0</v>
      </c>
      <c r="B1" s="160"/>
      <c r="C1" s="160"/>
      <c r="D1" s="160"/>
      <c r="E1" s="160"/>
      <c r="F1" s="160"/>
    </row>
    <row r="2" spans="1:6" ht="28.15" customHeight="1" thickTop="1" thickBot="1" x14ac:dyDescent="0.3">
      <c r="A2" s="33"/>
      <c r="B2" s="33"/>
      <c r="C2" s="33"/>
      <c r="D2" s="109" t="s">
        <v>1</v>
      </c>
      <c r="E2" s="15" t="s">
        <v>2</v>
      </c>
      <c r="F2" s="54" t="s">
        <v>3</v>
      </c>
    </row>
    <row r="3" spans="1:6" ht="36" customHeight="1" thickTop="1" thickBot="1" x14ac:dyDescent="0.3">
      <c r="A3" s="69"/>
      <c r="B3" s="70"/>
      <c r="C3" s="54" t="s">
        <v>4</v>
      </c>
      <c r="D3" s="109">
        <v>603</v>
      </c>
      <c r="E3" s="15">
        <f>F3/D3</f>
        <v>5628.6951907131015</v>
      </c>
      <c r="F3" s="42">
        <f>C25</f>
        <v>3394103.2</v>
      </c>
    </row>
    <row r="4" spans="1:6" ht="54" customHeight="1" thickTop="1" thickBot="1" x14ac:dyDescent="0.3">
      <c r="A4" s="69"/>
      <c r="B4" s="70"/>
      <c r="C4" s="54" t="s">
        <v>483</v>
      </c>
      <c r="D4" s="109">
        <v>0</v>
      </c>
      <c r="E4" s="15"/>
      <c r="F4" s="42">
        <f>C26</f>
        <v>0</v>
      </c>
    </row>
    <row r="5" spans="1:6" ht="21.75" thickTop="1" x14ac:dyDescent="0.25">
      <c r="A5" s="71"/>
      <c r="B5" s="38"/>
      <c r="C5" s="17"/>
      <c r="E5" s="17"/>
      <c r="F5" s="41"/>
    </row>
    <row r="6" spans="1:6" ht="21" x14ac:dyDescent="0.25">
      <c r="A6" s="71"/>
      <c r="B6" s="39" t="s">
        <v>5</v>
      </c>
      <c r="C6" s="17"/>
      <c r="E6" s="17"/>
      <c r="F6" s="41"/>
    </row>
    <row r="7" spans="1:6" ht="26.1" customHeight="1" x14ac:dyDescent="0.25">
      <c r="A7" s="72"/>
      <c r="B7" s="16" t="s">
        <v>484</v>
      </c>
      <c r="C7" s="17"/>
      <c r="E7" s="17"/>
      <c r="F7" s="41"/>
    </row>
    <row r="8" spans="1:6" ht="26.1" customHeight="1" x14ac:dyDescent="0.25">
      <c r="A8" s="72"/>
      <c r="B8" s="16"/>
      <c r="C8" s="17"/>
      <c r="E8" s="17"/>
      <c r="F8" s="41"/>
    </row>
    <row r="9" spans="1:6" ht="90.6" customHeight="1" thickBot="1" x14ac:dyDescent="0.3">
      <c r="A9" s="161"/>
      <c r="B9" s="161"/>
      <c r="C9" s="161"/>
      <c r="D9" s="161"/>
      <c r="E9" s="161"/>
      <c r="F9" s="161"/>
    </row>
    <row r="10" spans="1:6" ht="15.75" thickBot="1" x14ac:dyDescent="0.3"/>
    <row r="11" spans="1:6" ht="54.95" customHeight="1" thickBot="1" x14ac:dyDescent="0.3">
      <c r="A11" s="114" t="s">
        <v>6</v>
      </c>
      <c r="B11" s="114"/>
      <c r="C11" s="114"/>
      <c r="D11" s="114"/>
      <c r="E11" s="114"/>
      <c r="F11" s="114"/>
    </row>
    <row r="12" spans="1:6" ht="21" customHeight="1" thickBot="1" x14ac:dyDescent="0.3">
      <c r="A12" s="145" t="s">
        <v>7</v>
      </c>
      <c r="B12" s="145"/>
      <c r="C12" s="145" t="s">
        <v>8</v>
      </c>
      <c r="D12" s="146"/>
      <c r="E12" s="146"/>
      <c r="F12" s="149"/>
    </row>
    <row r="13" spans="1:6" ht="26.45" customHeight="1" thickBot="1" x14ac:dyDescent="0.3">
      <c r="A13" s="145"/>
      <c r="B13" s="145"/>
      <c r="C13" s="147"/>
      <c r="D13" s="148"/>
      <c r="E13" s="148"/>
      <c r="F13" s="150"/>
    </row>
    <row r="14" spans="1:6" ht="21" x14ac:dyDescent="0.25">
      <c r="A14" s="9" t="s">
        <v>9</v>
      </c>
      <c r="B14" s="4" t="s">
        <v>10</v>
      </c>
      <c r="C14" s="155">
        <f>+F35</f>
        <v>105000</v>
      </c>
      <c r="D14" s="156"/>
      <c r="E14" s="156"/>
      <c r="F14" s="157"/>
    </row>
    <row r="15" spans="1:6" ht="21" x14ac:dyDescent="0.25">
      <c r="A15" s="10" t="s">
        <v>11</v>
      </c>
      <c r="B15" s="5" t="s">
        <v>12</v>
      </c>
      <c r="C15" s="139">
        <f>+F61</f>
        <v>1019255</v>
      </c>
      <c r="D15" s="140"/>
      <c r="E15" s="140"/>
      <c r="F15" s="141"/>
    </row>
    <row r="16" spans="1:6" ht="21" x14ac:dyDescent="0.25">
      <c r="A16" s="10" t="s">
        <v>13</v>
      </c>
      <c r="B16" s="40" t="s">
        <v>14</v>
      </c>
      <c r="C16" s="139">
        <f>F68</f>
        <v>375127.2</v>
      </c>
      <c r="D16" s="140"/>
      <c r="E16" s="140"/>
      <c r="F16" s="141"/>
    </row>
    <row r="17" spans="1:6" ht="21" x14ac:dyDescent="0.25">
      <c r="A17" s="10" t="s">
        <v>15</v>
      </c>
      <c r="B17" s="5" t="s">
        <v>16</v>
      </c>
      <c r="C17" s="139">
        <f>F74</f>
        <v>127075</v>
      </c>
      <c r="D17" s="140"/>
      <c r="E17" s="140"/>
      <c r="F17" s="141"/>
    </row>
    <row r="18" spans="1:6" ht="21" x14ac:dyDescent="0.25">
      <c r="A18" s="10" t="s">
        <v>17</v>
      </c>
      <c r="B18" s="5" t="s">
        <v>18</v>
      </c>
      <c r="C18" s="139">
        <f>F111</f>
        <v>440644</v>
      </c>
      <c r="D18" s="140"/>
      <c r="E18" s="140"/>
      <c r="F18" s="141"/>
    </row>
    <row r="19" spans="1:6" ht="21" x14ac:dyDescent="0.25">
      <c r="A19" s="10" t="s">
        <v>19</v>
      </c>
      <c r="B19" s="5" t="s">
        <v>20</v>
      </c>
      <c r="C19" s="139">
        <f>F124</f>
        <v>214850</v>
      </c>
      <c r="D19" s="140"/>
      <c r="E19" s="140"/>
      <c r="F19" s="141"/>
    </row>
    <row r="20" spans="1:6" ht="21" x14ac:dyDescent="0.25">
      <c r="A20" s="10" t="s">
        <v>21</v>
      </c>
      <c r="B20" s="5" t="s">
        <v>22</v>
      </c>
      <c r="C20" s="139">
        <f>F130</f>
        <v>156582</v>
      </c>
      <c r="D20" s="140"/>
      <c r="E20" s="140"/>
      <c r="F20" s="141"/>
    </row>
    <row r="21" spans="1:6" ht="21" x14ac:dyDescent="0.25">
      <c r="A21" s="10" t="s">
        <v>23</v>
      </c>
      <c r="B21" s="5" t="s">
        <v>24</v>
      </c>
      <c r="C21" s="139">
        <f>F167</f>
        <v>463740</v>
      </c>
      <c r="D21" s="140"/>
      <c r="E21" s="140"/>
      <c r="F21" s="141"/>
    </row>
    <row r="22" spans="1:6" ht="21" x14ac:dyDescent="0.25">
      <c r="A22" s="10" t="s">
        <v>25</v>
      </c>
      <c r="B22" s="5" t="s">
        <v>26</v>
      </c>
      <c r="C22" s="139">
        <f>F220</f>
        <v>137745</v>
      </c>
      <c r="D22" s="140"/>
      <c r="E22" s="140"/>
      <c r="F22" s="141"/>
    </row>
    <row r="23" spans="1:6" ht="21.6" customHeight="1" x14ac:dyDescent="0.25">
      <c r="A23" s="10" t="s">
        <v>27</v>
      </c>
      <c r="B23" s="5" t="s">
        <v>28</v>
      </c>
      <c r="C23" s="139">
        <f>F245</f>
        <v>235025</v>
      </c>
      <c r="D23" s="140"/>
      <c r="E23" s="140"/>
      <c r="F23" s="141"/>
    </row>
    <row r="24" spans="1:6" ht="21" x14ac:dyDescent="0.25">
      <c r="A24" s="10" t="s">
        <v>29</v>
      </c>
      <c r="B24" s="5" t="s">
        <v>30</v>
      </c>
      <c r="C24" s="139">
        <f>F273</f>
        <v>119060</v>
      </c>
      <c r="D24" s="140"/>
      <c r="E24" s="140"/>
      <c r="F24" s="141"/>
    </row>
    <row r="25" spans="1:6" ht="21.75" thickBot="1" x14ac:dyDescent="0.3">
      <c r="A25" s="128" t="s">
        <v>31</v>
      </c>
      <c r="B25" s="128"/>
      <c r="C25" s="168">
        <f>SUM(C14:F24)</f>
        <v>3394103.2</v>
      </c>
      <c r="D25" s="169"/>
      <c r="E25" s="169"/>
      <c r="F25" s="170"/>
    </row>
    <row r="27" spans="1:6" ht="15.75" thickBot="1" x14ac:dyDescent="0.3"/>
    <row r="28" spans="1:6" ht="39.6" customHeight="1" thickBot="1" x14ac:dyDescent="0.3">
      <c r="A28" s="162" t="s">
        <v>32</v>
      </c>
      <c r="B28" s="163" t="s">
        <v>33</v>
      </c>
      <c r="C28" s="164" t="s">
        <v>34</v>
      </c>
      <c r="D28" s="167" t="s">
        <v>35</v>
      </c>
      <c r="E28" s="165" t="s">
        <v>36</v>
      </c>
      <c r="F28" s="166" t="s">
        <v>37</v>
      </c>
    </row>
    <row r="29" spans="1:6" ht="4.9000000000000004" customHeight="1" thickBot="1" x14ac:dyDescent="0.3">
      <c r="A29" s="162"/>
      <c r="B29" s="163"/>
      <c r="C29" s="164"/>
      <c r="D29" s="167"/>
      <c r="E29" s="165"/>
      <c r="F29" s="166"/>
    </row>
    <row r="30" spans="1:6" ht="50.45" customHeight="1" thickBot="1" x14ac:dyDescent="0.3">
      <c r="A30" s="117" t="s">
        <v>38</v>
      </c>
      <c r="B30" s="117"/>
      <c r="C30" s="117"/>
      <c r="D30" s="117"/>
      <c r="E30" s="117"/>
      <c r="F30" s="152"/>
    </row>
    <row r="31" spans="1:6" ht="15.75" customHeight="1" x14ac:dyDescent="0.25">
      <c r="A31" s="67" t="s">
        <v>39</v>
      </c>
      <c r="B31" s="75" t="s">
        <v>40</v>
      </c>
      <c r="C31" s="18" t="s">
        <v>41</v>
      </c>
      <c r="D31" s="93">
        <v>1</v>
      </c>
      <c r="E31" s="19">
        <v>30000</v>
      </c>
      <c r="F31" s="19">
        <f>E31*D31</f>
        <v>30000</v>
      </c>
    </row>
    <row r="32" spans="1:6" ht="24" customHeight="1" x14ac:dyDescent="0.25">
      <c r="A32" s="67" t="s">
        <v>42</v>
      </c>
      <c r="B32" s="75" t="s">
        <v>43</v>
      </c>
      <c r="C32" s="18" t="s">
        <v>41</v>
      </c>
      <c r="D32" s="94">
        <v>1</v>
      </c>
      <c r="E32" s="19">
        <v>30000</v>
      </c>
      <c r="F32" s="19">
        <f>+E32*D32</f>
        <v>30000</v>
      </c>
    </row>
    <row r="33" spans="1:9" ht="15" customHeight="1" x14ac:dyDescent="0.25">
      <c r="A33" s="67" t="s">
        <v>44</v>
      </c>
      <c r="B33" s="75" t="s">
        <v>45</v>
      </c>
      <c r="C33" s="18" t="s">
        <v>41</v>
      </c>
      <c r="D33" s="94">
        <v>1</v>
      </c>
      <c r="E33" s="19">
        <v>40000</v>
      </c>
      <c r="F33" s="19">
        <f>E33*D33</f>
        <v>40000</v>
      </c>
    </row>
    <row r="34" spans="1:9" ht="15.75" customHeight="1" thickBot="1" x14ac:dyDescent="0.3">
      <c r="A34" s="67" t="s">
        <v>46</v>
      </c>
      <c r="B34" s="75" t="s">
        <v>47</v>
      </c>
      <c r="C34" s="18" t="s">
        <v>41</v>
      </c>
      <c r="D34" s="95">
        <v>1</v>
      </c>
      <c r="E34" s="19">
        <v>5000</v>
      </c>
      <c r="F34" s="19">
        <f>E34*D34</f>
        <v>5000</v>
      </c>
    </row>
    <row r="35" spans="1:9" ht="32.450000000000003" customHeight="1" thickBot="1" x14ac:dyDescent="0.3">
      <c r="A35" s="153" t="s">
        <v>48</v>
      </c>
      <c r="B35" s="153"/>
      <c r="C35" s="153"/>
      <c r="D35" s="153"/>
      <c r="E35" s="153"/>
      <c r="F35" s="44">
        <f>F31+F32+F33+F34</f>
        <v>105000</v>
      </c>
    </row>
    <row r="36" spans="1:9" ht="51.6" customHeight="1" thickBot="1" x14ac:dyDescent="0.3">
      <c r="A36" s="117" t="s">
        <v>49</v>
      </c>
      <c r="B36" s="117" t="s">
        <v>50</v>
      </c>
      <c r="C36" s="117"/>
      <c r="D36" s="158"/>
      <c r="E36" s="117"/>
      <c r="F36" s="152"/>
    </row>
    <row r="37" spans="1:9" ht="21.75" customHeight="1" x14ac:dyDescent="0.25">
      <c r="A37" s="76"/>
      <c r="B37" s="77" t="s">
        <v>51</v>
      </c>
      <c r="C37" s="21"/>
      <c r="D37" s="93"/>
      <c r="E37" s="104"/>
      <c r="F37" s="45"/>
    </row>
    <row r="38" spans="1:9" ht="30.75" customHeight="1" x14ac:dyDescent="0.25">
      <c r="A38" s="67" t="s">
        <v>52</v>
      </c>
      <c r="B38" s="75" t="s">
        <v>53</v>
      </c>
      <c r="C38" s="18" t="s">
        <v>54</v>
      </c>
      <c r="D38" s="94">
        <v>299</v>
      </c>
      <c r="E38" s="19">
        <v>40</v>
      </c>
      <c r="F38" s="43">
        <f>E38*D38</f>
        <v>11960</v>
      </c>
    </row>
    <row r="39" spans="1:9" ht="17.25" customHeight="1" x14ac:dyDescent="0.25">
      <c r="A39" s="67" t="s">
        <v>55</v>
      </c>
      <c r="B39" s="75" t="s">
        <v>56</v>
      </c>
      <c r="C39" s="18" t="s">
        <v>54</v>
      </c>
      <c r="D39" s="94">
        <v>299</v>
      </c>
      <c r="E39" s="19">
        <v>35</v>
      </c>
      <c r="F39" s="43">
        <f t="shared" ref="F39:F60" si="0">E39*D39</f>
        <v>10465</v>
      </c>
    </row>
    <row r="40" spans="1:9" ht="17.25" customHeight="1" x14ac:dyDescent="0.25">
      <c r="A40" s="67" t="s">
        <v>57</v>
      </c>
      <c r="B40" s="75" t="s">
        <v>58</v>
      </c>
      <c r="C40" s="18" t="s">
        <v>54</v>
      </c>
      <c r="D40" s="94">
        <f>D48*0.6</f>
        <v>252</v>
      </c>
      <c r="E40" s="19">
        <v>30</v>
      </c>
      <c r="F40" s="43">
        <f t="shared" si="0"/>
        <v>7560</v>
      </c>
    </row>
    <row r="41" spans="1:9" ht="17.25" customHeight="1" x14ac:dyDescent="0.25">
      <c r="A41" s="67" t="s">
        <v>59</v>
      </c>
      <c r="B41" s="75" t="s">
        <v>60</v>
      </c>
      <c r="C41" s="18" t="s">
        <v>54</v>
      </c>
      <c r="D41" s="94">
        <f>D48*0.3</f>
        <v>126</v>
      </c>
      <c r="E41" s="19">
        <v>150</v>
      </c>
      <c r="F41" s="43">
        <f t="shared" si="0"/>
        <v>18900</v>
      </c>
    </row>
    <row r="42" spans="1:9" x14ac:dyDescent="0.25">
      <c r="A42" s="67"/>
      <c r="B42" s="77" t="s">
        <v>61</v>
      </c>
      <c r="C42" s="18"/>
      <c r="D42" s="94"/>
      <c r="F42" s="43">
        <f t="shared" si="0"/>
        <v>0</v>
      </c>
    </row>
    <row r="43" spans="1:9" ht="17.25" customHeight="1" x14ac:dyDescent="0.25">
      <c r="A43" s="67" t="s">
        <v>62</v>
      </c>
      <c r="B43" s="75" t="s">
        <v>63</v>
      </c>
      <c r="C43" s="18" t="s">
        <v>54</v>
      </c>
      <c r="D43" s="94">
        <v>23</v>
      </c>
      <c r="E43" s="19">
        <v>900</v>
      </c>
      <c r="F43" s="43">
        <f t="shared" si="0"/>
        <v>20700</v>
      </c>
    </row>
    <row r="44" spans="1:9" ht="17.25" customHeight="1" x14ac:dyDescent="0.25">
      <c r="A44" s="67" t="s">
        <v>64</v>
      </c>
      <c r="B44" s="75" t="s">
        <v>65</v>
      </c>
      <c r="C44" s="18" t="s">
        <v>54</v>
      </c>
      <c r="D44" s="94">
        <v>5</v>
      </c>
      <c r="E44" s="19">
        <v>900</v>
      </c>
      <c r="F44" s="43">
        <f t="shared" si="0"/>
        <v>4500</v>
      </c>
    </row>
    <row r="45" spans="1:9" ht="17.25" customHeight="1" x14ac:dyDescent="0.25">
      <c r="A45" s="67" t="s">
        <v>66</v>
      </c>
      <c r="B45" s="75" t="s">
        <v>67</v>
      </c>
      <c r="C45" s="18" t="s">
        <v>54</v>
      </c>
      <c r="D45" s="94">
        <v>94</v>
      </c>
      <c r="E45" s="19">
        <v>1400</v>
      </c>
      <c r="F45" s="43">
        <f t="shared" si="0"/>
        <v>131600</v>
      </c>
    </row>
    <row r="46" spans="1:9" ht="15" customHeight="1" x14ac:dyDescent="0.25">
      <c r="A46" s="67" t="s">
        <v>68</v>
      </c>
      <c r="B46" s="75" t="s">
        <v>69</v>
      </c>
      <c r="C46" s="18" t="s">
        <v>70</v>
      </c>
      <c r="D46" s="94">
        <v>10047</v>
      </c>
      <c r="E46" s="19">
        <v>12</v>
      </c>
      <c r="F46" s="43">
        <f t="shared" si="0"/>
        <v>120564</v>
      </c>
      <c r="I46" s="90">
        <f>D48-420</f>
        <v>0</v>
      </c>
    </row>
    <row r="47" spans="1:9" ht="15" customHeight="1" x14ac:dyDescent="0.25">
      <c r="A47" s="67" t="s">
        <v>71</v>
      </c>
      <c r="B47" s="75" t="s">
        <v>72</v>
      </c>
      <c r="C47" s="18" t="s">
        <v>73</v>
      </c>
      <c r="D47" s="94">
        <v>109</v>
      </c>
      <c r="E47" s="19">
        <v>50</v>
      </c>
      <c r="F47" s="43">
        <f t="shared" si="0"/>
        <v>5450</v>
      </c>
    </row>
    <row r="48" spans="1:9" ht="15" customHeight="1" x14ac:dyDescent="0.25">
      <c r="A48" s="67" t="s">
        <v>74</v>
      </c>
      <c r="B48" s="75" t="s">
        <v>75</v>
      </c>
      <c r="C48" s="18" t="s">
        <v>76</v>
      </c>
      <c r="D48" s="103">
        <v>420</v>
      </c>
      <c r="E48" s="19">
        <v>270</v>
      </c>
      <c r="F48" s="43">
        <f t="shared" si="0"/>
        <v>113400</v>
      </c>
    </row>
    <row r="49" spans="1:6" ht="17.25" customHeight="1" x14ac:dyDescent="0.25">
      <c r="A49" s="67" t="s">
        <v>77</v>
      </c>
      <c r="B49" s="75" t="s">
        <v>78</v>
      </c>
      <c r="C49" s="18" t="s">
        <v>54</v>
      </c>
      <c r="D49" s="94">
        <v>112</v>
      </c>
      <c r="E49" s="19">
        <v>1450</v>
      </c>
      <c r="F49" s="43">
        <f t="shared" si="0"/>
        <v>162400</v>
      </c>
    </row>
    <row r="50" spans="1:6" ht="15" customHeight="1" x14ac:dyDescent="0.25">
      <c r="A50" s="67" t="s">
        <v>79</v>
      </c>
      <c r="B50" s="75" t="s">
        <v>80</v>
      </c>
      <c r="C50" s="18" t="s">
        <v>70</v>
      </c>
      <c r="D50" s="94">
        <v>16928</v>
      </c>
      <c r="E50" s="19">
        <v>12</v>
      </c>
      <c r="F50" s="43">
        <f t="shared" si="0"/>
        <v>203136</v>
      </c>
    </row>
    <row r="51" spans="1:6" ht="15" customHeight="1" x14ac:dyDescent="0.25">
      <c r="A51" s="67" t="s">
        <v>81</v>
      </c>
      <c r="B51" s="75" t="s">
        <v>465</v>
      </c>
      <c r="C51" s="18" t="s">
        <v>76</v>
      </c>
      <c r="D51" s="94">
        <v>522</v>
      </c>
      <c r="E51" s="19">
        <v>300</v>
      </c>
      <c r="F51" s="43">
        <f t="shared" si="0"/>
        <v>156600</v>
      </c>
    </row>
    <row r="52" spans="1:6" ht="15" customHeight="1" x14ac:dyDescent="0.25">
      <c r="A52" s="67"/>
      <c r="B52" s="77" t="s">
        <v>82</v>
      </c>
      <c r="C52" s="18"/>
      <c r="D52" s="94"/>
      <c r="E52" s="19"/>
      <c r="F52" s="43">
        <f t="shared" si="0"/>
        <v>0</v>
      </c>
    </row>
    <row r="53" spans="1:6" ht="15" customHeight="1" x14ac:dyDescent="0.25">
      <c r="A53" s="67" t="s">
        <v>83</v>
      </c>
      <c r="B53" s="75" t="s">
        <v>84</v>
      </c>
      <c r="C53" s="18"/>
      <c r="D53" s="94"/>
      <c r="E53" s="19"/>
      <c r="F53" s="43">
        <f t="shared" si="0"/>
        <v>0</v>
      </c>
    </row>
    <row r="54" spans="1:6" ht="15" customHeight="1" x14ac:dyDescent="0.25">
      <c r="A54" s="67" t="s">
        <v>85</v>
      </c>
      <c r="B54" s="78" t="s">
        <v>86</v>
      </c>
      <c r="C54" s="18" t="s">
        <v>73</v>
      </c>
      <c r="D54" s="94">
        <v>28</v>
      </c>
      <c r="E54" s="19">
        <v>250</v>
      </c>
      <c r="F54" s="43">
        <f t="shared" si="0"/>
        <v>7000</v>
      </c>
    </row>
    <row r="55" spans="1:6" ht="15" customHeight="1" x14ac:dyDescent="0.25">
      <c r="A55" s="67" t="s">
        <v>87</v>
      </c>
      <c r="B55" s="78" t="s">
        <v>88</v>
      </c>
      <c r="C55" s="18" t="s">
        <v>73</v>
      </c>
      <c r="D55" s="94">
        <v>58</v>
      </c>
      <c r="E55" s="19">
        <v>240</v>
      </c>
      <c r="F55" s="43">
        <f t="shared" si="0"/>
        <v>13920</v>
      </c>
    </row>
    <row r="56" spans="1:6" x14ac:dyDescent="0.25">
      <c r="A56" s="67" t="s">
        <v>89</v>
      </c>
      <c r="B56" s="75" t="s">
        <v>90</v>
      </c>
      <c r="C56" s="18"/>
      <c r="D56" s="94"/>
      <c r="E56" s="19"/>
      <c r="F56" s="43">
        <f t="shared" si="0"/>
        <v>0</v>
      </c>
    </row>
    <row r="57" spans="1:6" ht="15" customHeight="1" x14ac:dyDescent="0.25">
      <c r="A57" s="67" t="s">
        <v>91</v>
      </c>
      <c r="B57" s="78" t="s">
        <v>92</v>
      </c>
      <c r="C57" s="18" t="s">
        <v>34</v>
      </c>
      <c r="D57" s="94">
        <v>12</v>
      </c>
      <c r="E57" s="19">
        <v>1600</v>
      </c>
      <c r="F57" s="43">
        <f t="shared" si="0"/>
        <v>19200</v>
      </c>
    </row>
    <row r="58" spans="1:6" ht="15" customHeight="1" x14ac:dyDescent="0.25">
      <c r="A58" s="67" t="s">
        <v>93</v>
      </c>
      <c r="B58" s="78" t="s">
        <v>94</v>
      </c>
      <c r="C58" s="18" t="s">
        <v>34</v>
      </c>
      <c r="D58" s="94">
        <v>3</v>
      </c>
      <c r="E58" s="19">
        <v>1800</v>
      </c>
      <c r="F58" s="43">
        <f t="shared" si="0"/>
        <v>5400</v>
      </c>
    </row>
    <row r="59" spans="1:6" ht="15" customHeight="1" x14ac:dyDescent="0.25">
      <c r="A59" s="67" t="s">
        <v>95</v>
      </c>
      <c r="B59" s="75" t="s">
        <v>96</v>
      </c>
      <c r="C59" s="18"/>
      <c r="D59" s="94"/>
      <c r="E59" s="19"/>
      <c r="F59" s="43">
        <f t="shared" si="0"/>
        <v>0</v>
      </c>
    </row>
    <row r="60" spans="1:6" ht="15.75" customHeight="1" thickBot="1" x14ac:dyDescent="0.3">
      <c r="A60" s="67" t="s">
        <v>97</v>
      </c>
      <c r="B60" s="78" t="s">
        <v>98</v>
      </c>
      <c r="C60" s="18" t="s">
        <v>73</v>
      </c>
      <c r="D60" s="95">
        <v>2.6</v>
      </c>
      <c r="E60" s="19">
        <v>2500</v>
      </c>
      <c r="F60" s="43">
        <f t="shared" si="0"/>
        <v>6500</v>
      </c>
    </row>
    <row r="61" spans="1:6" ht="32.450000000000003" customHeight="1" thickBot="1" x14ac:dyDescent="0.3">
      <c r="A61" s="121" t="s">
        <v>99</v>
      </c>
      <c r="B61" s="121"/>
      <c r="C61" s="121"/>
      <c r="D61" s="154"/>
      <c r="E61" s="121"/>
      <c r="F61" s="44">
        <f>SUM(F38:F60)</f>
        <v>1019255</v>
      </c>
    </row>
    <row r="62" spans="1:6" ht="51.6" customHeight="1" thickBot="1" x14ac:dyDescent="0.3">
      <c r="A62" s="117" t="s">
        <v>100</v>
      </c>
      <c r="B62" s="117" t="s">
        <v>101</v>
      </c>
      <c r="C62" s="117"/>
      <c r="D62" s="117"/>
      <c r="E62" s="117"/>
      <c r="F62" s="152"/>
    </row>
    <row r="63" spans="1:6" ht="21.75" customHeight="1" x14ac:dyDescent="0.25">
      <c r="A63" s="67" t="s">
        <v>102</v>
      </c>
      <c r="B63" s="75" t="s">
        <v>103</v>
      </c>
      <c r="C63" s="18" t="s">
        <v>76</v>
      </c>
      <c r="D63" s="94">
        <v>168</v>
      </c>
      <c r="E63" s="19">
        <v>230</v>
      </c>
      <c r="F63" s="43">
        <f t="shared" ref="F63:F67" si="1">E63*D63</f>
        <v>38640</v>
      </c>
    </row>
    <row r="64" spans="1:6" ht="24" customHeight="1" x14ac:dyDescent="0.25">
      <c r="A64" s="67" t="s">
        <v>104</v>
      </c>
      <c r="B64" s="75" t="s">
        <v>105</v>
      </c>
      <c r="C64" s="18" t="s">
        <v>76</v>
      </c>
      <c r="D64" s="94">
        <v>535.5</v>
      </c>
      <c r="E64" s="19">
        <v>115</v>
      </c>
      <c r="F64" s="43">
        <f t="shared" si="1"/>
        <v>61582.5</v>
      </c>
    </row>
    <row r="65" spans="1:11" ht="15" customHeight="1" x14ac:dyDescent="0.25">
      <c r="A65" s="67" t="s">
        <v>106</v>
      </c>
      <c r="B65" s="75" t="s">
        <v>107</v>
      </c>
      <c r="C65" s="18" t="s">
        <v>76</v>
      </c>
      <c r="D65" s="94">
        <v>651</v>
      </c>
      <c r="E65" s="19">
        <v>150</v>
      </c>
      <c r="F65" s="43">
        <f t="shared" si="1"/>
        <v>97650</v>
      </c>
    </row>
    <row r="66" spans="1:11" ht="15.75" customHeight="1" x14ac:dyDescent="0.25">
      <c r="A66" s="67" t="s">
        <v>108</v>
      </c>
      <c r="B66" s="75" t="s">
        <v>109</v>
      </c>
      <c r="C66" s="18" t="s">
        <v>76</v>
      </c>
      <c r="D66" s="94">
        <v>3088.05</v>
      </c>
      <c r="E66" s="19">
        <v>54</v>
      </c>
      <c r="F66" s="43">
        <f t="shared" si="1"/>
        <v>166754.70000000001</v>
      </c>
    </row>
    <row r="67" spans="1:11" ht="15.75" customHeight="1" thickBot="1" x14ac:dyDescent="0.3">
      <c r="A67" s="67" t="s">
        <v>110</v>
      </c>
      <c r="B67" s="75" t="s">
        <v>111</v>
      </c>
      <c r="C67" s="18" t="s">
        <v>76</v>
      </c>
      <c r="D67" s="94">
        <v>21</v>
      </c>
      <c r="E67" s="19">
        <v>500</v>
      </c>
      <c r="F67" s="43">
        <f t="shared" si="1"/>
        <v>10500</v>
      </c>
    </row>
    <row r="68" spans="1:11" ht="32.450000000000003" customHeight="1" thickBot="1" x14ac:dyDescent="0.3">
      <c r="A68" s="113" t="s">
        <v>112</v>
      </c>
      <c r="B68" s="113"/>
      <c r="C68" s="113"/>
      <c r="D68" s="113"/>
      <c r="E68" s="113"/>
      <c r="F68" s="44">
        <f>SUM(F63:F67)</f>
        <v>375127.2</v>
      </c>
    </row>
    <row r="69" spans="1:11" ht="51.6" customHeight="1" thickBot="1" x14ac:dyDescent="0.3">
      <c r="A69" s="117" t="s">
        <v>113</v>
      </c>
      <c r="B69" s="117" t="s">
        <v>101</v>
      </c>
      <c r="C69" s="117"/>
      <c r="D69" s="117"/>
      <c r="E69" s="117"/>
      <c r="F69" s="152"/>
    </row>
    <row r="70" spans="1:11" ht="21.75" customHeight="1" x14ac:dyDescent="0.25">
      <c r="A70" s="67" t="s">
        <v>114</v>
      </c>
      <c r="B70" s="75" t="s">
        <v>115</v>
      </c>
      <c r="C70" s="18" t="s">
        <v>76</v>
      </c>
      <c r="D70" s="93">
        <v>469</v>
      </c>
      <c r="E70" s="19">
        <v>95</v>
      </c>
      <c r="F70" s="43">
        <f>E70*D70</f>
        <v>44555</v>
      </c>
      <c r="I70" s="74"/>
      <c r="J70" s="74"/>
      <c r="K70" s="74"/>
    </row>
    <row r="71" spans="1:11" ht="24" customHeight="1" x14ac:dyDescent="0.25">
      <c r="A71" s="67" t="s">
        <v>116</v>
      </c>
      <c r="B71" s="75" t="s">
        <v>117</v>
      </c>
      <c r="C71" s="18" t="s">
        <v>76</v>
      </c>
      <c r="D71" s="94">
        <v>255</v>
      </c>
      <c r="E71" s="19">
        <v>200</v>
      </c>
      <c r="F71" s="43">
        <f>E71*D71</f>
        <v>51000</v>
      </c>
      <c r="I71" s="74"/>
      <c r="J71" s="74"/>
      <c r="K71" s="74"/>
    </row>
    <row r="72" spans="1:11" ht="15" customHeight="1" x14ac:dyDescent="0.25">
      <c r="A72" s="67" t="s">
        <v>118</v>
      </c>
      <c r="B72" s="75" t="s">
        <v>119</v>
      </c>
      <c r="C72" s="18" t="s">
        <v>76</v>
      </c>
      <c r="D72" s="94">
        <v>32</v>
      </c>
      <c r="E72" s="19">
        <v>125</v>
      </c>
      <c r="F72" s="43">
        <f>E72*D72</f>
        <v>4000</v>
      </c>
      <c r="I72" s="74"/>
      <c r="J72" s="74"/>
      <c r="K72" s="74"/>
    </row>
    <row r="73" spans="1:11" ht="15.75" customHeight="1" thickBot="1" x14ac:dyDescent="0.3">
      <c r="A73" s="67" t="s">
        <v>120</v>
      </c>
      <c r="B73" s="75" t="s">
        <v>121</v>
      </c>
      <c r="C73" s="18" t="s">
        <v>76</v>
      </c>
      <c r="D73" s="95">
        <v>172</v>
      </c>
      <c r="E73" s="19">
        <v>160</v>
      </c>
      <c r="F73" s="43">
        <f>E73*D73</f>
        <v>27520</v>
      </c>
      <c r="I73" s="74"/>
      <c r="J73" s="74"/>
      <c r="K73" s="74"/>
    </row>
    <row r="74" spans="1:11" ht="32.450000000000003" customHeight="1" thickBot="1" x14ac:dyDescent="0.3">
      <c r="A74" s="113" t="s">
        <v>122</v>
      </c>
      <c r="B74" s="113"/>
      <c r="C74" s="113"/>
      <c r="D74" s="113"/>
      <c r="E74" s="113"/>
      <c r="F74" s="44">
        <f>SUM(F70:F73)</f>
        <v>127075</v>
      </c>
      <c r="I74" s="74"/>
      <c r="J74" s="74"/>
      <c r="K74" s="74"/>
    </row>
    <row r="75" spans="1:11" ht="51.6" customHeight="1" thickBot="1" x14ac:dyDescent="0.3">
      <c r="A75" s="117" t="s">
        <v>123</v>
      </c>
      <c r="B75" s="117" t="s">
        <v>124</v>
      </c>
      <c r="C75" s="117"/>
      <c r="D75" s="117"/>
      <c r="E75" s="117"/>
      <c r="F75" s="152"/>
    </row>
    <row r="76" spans="1:11" ht="21.75" customHeight="1" x14ac:dyDescent="0.25">
      <c r="A76" s="79"/>
      <c r="B76" s="80" t="s">
        <v>125</v>
      </c>
      <c r="C76" s="97"/>
      <c r="D76" s="93"/>
      <c r="E76" s="98"/>
      <c r="F76" s="46"/>
    </row>
    <row r="77" spans="1:11" ht="24" customHeight="1" x14ac:dyDescent="0.25">
      <c r="A77" s="81" t="s">
        <v>126</v>
      </c>
      <c r="B77" s="75" t="s">
        <v>127</v>
      </c>
      <c r="C77" s="18"/>
      <c r="D77" s="94"/>
      <c r="E77" s="99"/>
      <c r="F77" s="43"/>
    </row>
    <row r="78" spans="1:11" ht="15" customHeight="1" x14ac:dyDescent="0.25">
      <c r="A78" s="81" t="s">
        <v>128</v>
      </c>
      <c r="B78" s="78" t="s">
        <v>476</v>
      </c>
      <c r="C78" s="18" t="s">
        <v>76</v>
      </c>
      <c r="D78" s="94">
        <v>34.799999999999997</v>
      </c>
      <c r="E78" s="99">
        <v>1700</v>
      </c>
      <c r="F78" s="43">
        <f>D78*E78</f>
        <v>59159.999999999993</v>
      </c>
    </row>
    <row r="79" spans="1:11" ht="15" customHeight="1" x14ac:dyDescent="0.25">
      <c r="A79" s="81" t="s">
        <v>129</v>
      </c>
      <c r="B79" s="78" t="s">
        <v>477</v>
      </c>
      <c r="C79" s="18" t="s">
        <v>76</v>
      </c>
      <c r="D79" s="94">
        <v>4</v>
      </c>
      <c r="E79" s="100">
        <v>1700</v>
      </c>
      <c r="F79" s="43">
        <f>D79*E79</f>
        <v>6800</v>
      </c>
    </row>
    <row r="80" spans="1:11" ht="17.25" customHeight="1" x14ac:dyDescent="0.25">
      <c r="A80" s="81" t="s">
        <v>130</v>
      </c>
      <c r="B80" s="78" t="s">
        <v>131</v>
      </c>
      <c r="C80" s="18" t="s">
        <v>34</v>
      </c>
      <c r="D80" s="94">
        <v>1</v>
      </c>
      <c r="E80" s="100">
        <v>6300</v>
      </c>
      <c r="F80" s="43">
        <f>D80*E80</f>
        <v>6300</v>
      </c>
    </row>
    <row r="81" spans="1:13" ht="15" customHeight="1" x14ac:dyDescent="0.25">
      <c r="A81" s="79"/>
      <c r="B81" s="80" t="s">
        <v>132</v>
      </c>
      <c r="C81" s="97"/>
      <c r="D81" s="94">
        <v>0</v>
      </c>
      <c r="E81" s="98"/>
      <c r="F81" s="43"/>
    </row>
    <row r="82" spans="1:13" ht="15" customHeight="1" x14ac:dyDescent="0.25">
      <c r="A82" s="81" t="s">
        <v>133</v>
      </c>
      <c r="B82" s="75" t="s">
        <v>134</v>
      </c>
      <c r="C82" s="18"/>
      <c r="D82" s="94">
        <v>0</v>
      </c>
      <c r="E82" s="99"/>
      <c r="F82" s="43"/>
    </row>
    <row r="83" spans="1:13" ht="15" customHeight="1" x14ac:dyDescent="0.25">
      <c r="A83" s="82" t="s">
        <v>135</v>
      </c>
      <c r="B83" s="78" t="s">
        <v>478</v>
      </c>
      <c r="C83" s="18" t="s">
        <v>76</v>
      </c>
      <c r="D83" s="94">
        <v>113</v>
      </c>
      <c r="E83" s="99">
        <v>900</v>
      </c>
      <c r="F83" s="19">
        <f>E83*D83</f>
        <v>101700</v>
      </c>
    </row>
    <row r="84" spans="1:13" ht="15" customHeight="1" x14ac:dyDescent="0.25">
      <c r="A84" s="82" t="s">
        <v>136</v>
      </c>
      <c r="B84" s="78" t="s">
        <v>479</v>
      </c>
      <c r="C84" s="18" t="s">
        <v>76</v>
      </c>
      <c r="D84" s="94">
        <v>22.6</v>
      </c>
      <c r="E84" s="99">
        <v>900</v>
      </c>
      <c r="F84" s="19">
        <f>E84*D84</f>
        <v>20340</v>
      </c>
    </row>
    <row r="85" spans="1:13" ht="15" customHeight="1" x14ac:dyDescent="0.25">
      <c r="A85" s="79"/>
      <c r="B85" s="80" t="s">
        <v>137</v>
      </c>
      <c r="C85" s="97"/>
      <c r="D85" s="94">
        <v>0</v>
      </c>
      <c r="E85" s="98"/>
      <c r="F85" s="43"/>
    </row>
    <row r="86" spans="1:13" ht="16.5" customHeight="1" x14ac:dyDescent="0.25">
      <c r="A86" s="81" t="s">
        <v>138</v>
      </c>
      <c r="B86" s="75" t="s">
        <v>139</v>
      </c>
      <c r="C86" s="18" t="s">
        <v>76</v>
      </c>
      <c r="D86" s="103">
        <v>15</v>
      </c>
      <c r="E86" s="99">
        <v>1200</v>
      </c>
      <c r="F86" s="19">
        <f>E86*D86</f>
        <v>18000</v>
      </c>
    </row>
    <row r="87" spans="1:13" x14ac:dyDescent="0.25">
      <c r="A87" s="81" t="s">
        <v>140</v>
      </c>
      <c r="B87" s="75" t="s">
        <v>141</v>
      </c>
      <c r="C87" s="18"/>
      <c r="D87" s="94">
        <v>0</v>
      </c>
      <c r="E87" s="99"/>
      <c r="F87" s="19"/>
    </row>
    <row r="88" spans="1:13" ht="16.5" customHeight="1" x14ac:dyDescent="0.25">
      <c r="A88" s="82" t="s">
        <v>142</v>
      </c>
      <c r="B88" s="78" t="s">
        <v>143</v>
      </c>
      <c r="C88" s="18" t="s">
        <v>76</v>
      </c>
      <c r="D88" s="94">
        <v>9</v>
      </c>
      <c r="E88" s="99">
        <v>1200</v>
      </c>
      <c r="F88" s="19">
        <f t="shared" ref="F88:F106" si="2">D88*E88</f>
        <v>10800</v>
      </c>
    </row>
    <row r="89" spans="1:13" ht="20.25" customHeight="1" x14ac:dyDescent="0.25">
      <c r="A89" s="82" t="s">
        <v>144</v>
      </c>
      <c r="B89" s="91" t="s">
        <v>145</v>
      </c>
      <c r="C89" s="18" t="s">
        <v>76</v>
      </c>
      <c r="D89" s="94">
        <v>2</v>
      </c>
      <c r="E89" s="99">
        <v>1200</v>
      </c>
      <c r="F89" s="19">
        <f t="shared" si="2"/>
        <v>2400</v>
      </c>
    </row>
    <row r="90" spans="1:13" x14ac:dyDescent="0.25">
      <c r="A90" s="81" t="s">
        <v>146</v>
      </c>
      <c r="B90" s="75" t="s">
        <v>147</v>
      </c>
      <c r="C90" s="18"/>
      <c r="D90" s="94"/>
      <c r="E90" s="99"/>
      <c r="F90" s="19"/>
    </row>
    <row r="91" spans="1:13" x14ac:dyDescent="0.25">
      <c r="A91" s="82" t="s">
        <v>148</v>
      </c>
      <c r="B91" s="107" t="s">
        <v>474</v>
      </c>
      <c r="C91" s="18" t="s">
        <v>76</v>
      </c>
      <c r="D91" s="94">
        <v>23.9</v>
      </c>
      <c r="E91" s="99">
        <v>1200</v>
      </c>
      <c r="F91" s="19">
        <f t="shared" si="2"/>
        <v>28680</v>
      </c>
      <c r="I91" s="90"/>
    </row>
    <row r="92" spans="1:13" ht="15" customHeight="1" x14ac:dyDescent="0.25">
      <c r="A92" s="82" t="s">
        <v>149</v>
      </c>
      <c r="B92" s="107" t="s">
        <v>475</v>
      </c>
      <c r="C92" s="18" t="s">
        <v>76</v>
      </c>
      <c r="D92" s="94">
        <v>21.8</v>
      </c>
      <c r="E92" s="99">
        <v>1200</v>
      </c>
      <c r="F92" s="19">
        <f>D92*E92</f>
        <v>26160</v>
      </c>
      <c r="I92" s="90"/>
      <c r="M92" s="90"/>
    </row>
    <row r="93" spans="1:13" ht="15" customHeight="1" x14ac:dyDescent="0.25">
      <c r="A93" s="79"/>
      <c r="B93" s="80" t="s">
        <v>150</v>
      </c>
      <c r="C93" s="97"/>
      <c r="D93" s="94">
        <v>0</v>
      </c>
      <c r="E93" s="98"/>
      <c r="F93" s="43"/>
    </row>
    <row r="94" spans="1:13" ht="15" customHeight="1" x14ac:dyDescent="0.25">
      <c r="A94" s="81" t="s">
        <v>151</v>
      </c>
      <c r="B94" s="108" t="s">
        <v>152</v>
      </c>
      <c r="C94" s="18" t="s">
        <v>73</v>
      </c>
      <c r="D94" s="94">
        <v>3</v>
      </c>
      <c r="E94" s="99">
        <v>110</v>
      </c>
      <c r="F94" s="43">
        <f t="shared" si="2"/>
        <v>330</v>
      </c>
      <c r="M94" s="90"/>
    </row>
    <row r="95" spans="1:13" ht="15" customHeight="1" x14ac:dyDescent="0.25">
      <c r="A95" s="81" t="s">
        <v>153</v>
      </c>
      <c r="B95" s="108" t="s">
        <v>154</v>
      </c>
      <c r="C95" s="18" t="s">
        <v>73</v>
      </c>
      <c r="D95" s="94">
        <v>9</v>
      </c>
      <c r="E95" s="99">
        <v>85</v>
      </c>
      <c r="F95" s="43">
        <f t="shared" si="2"/>
        <v>765</v>
      </c>
    </row>
    <row r="96" spans="1:13" ht="15" customHeight="1" x14ac:dyDescent="0.25">
      <c r="A96" s="81" t="s">
        <v>155</v>
      </c>
      <c r="B96" s="108" t="s">
        <v>156</v>
      </c>
      <c r="C96" s="18" t="s">
        <v>73</v>
      </c>
      <c r="D96" s="94">
        <v>17</v>
      </c>
      <c r="E96" s="99">
        <v>65</v>
      </c>
      <c r="F96" s="43">
        <f t="shared" si="2"/>
        <v>1105</v>
      </c>
    </row>
    <row r="97" spans="1:6" ht="15" customHeight="1" x14ac:dyDescent="0.25">
      <c r="A97" s="81" t="s">
        <v>157</v>
      </c>
      <c r="B97" s="108" t="s">
        <v>160</v>
      </c>
      <c r="C97" s="18"/>
      <c r="D97" s="94">
        <v>0</v>
      </c>
      <c r="E97" s="99"/>
      <c r="F97" s="43">
        <f t="shared" si="2"/>
        <v>0</v>
      </c>
    </row>
    <row r="98" spans="1:6" ht="15" customHeight="1" x14ac:dyDescent="0.25">
      <c r="A98" s="82" t="s">
        <v>469</v>
      </c>
      <c r="B98" s="107" t="s">
        <v>162</v>
      </c>
      <c r="C98" s="18" t="s">
        <v>76</v>
      </c>
      <c r="D98" s="94">
        <v>15.2</v>
      </c>
      <c r="E98" s="99">
        <v>1200</v>
      </c>
      <c r="F98" s="43">
        <f t="shared" si="2"/>
        <v>18240</v>
      </c>
    </row>
    <row r="99" spans="1:6" ht="15" customHeight="1" x14ac:dyDescent="0.25">
      <c r="A99" s="82" t="s">
        <v>470</v>
      </c>
      <c r="B99" s="107" t="s">
        <v>164</v>
      </c>
      <c r="C99" s="18" t="s">
        <v>76</v>
      </c>
      <c r="D99" s="94">
        <v>3.6</v>
      </c>
      <c r="E99" s="99">
        <v>1200</v>
      </c>
      <c r="F99" s="43">
        <f t="shared" si="2"/>
        <v>4320</v>
      </c>
    </row>
    <row r="100" spans="1:6" ht="17.25" customHeight="1" x14ac:dyDescent="0.25">
      <c r="A100" s="82" t="s">
        <v>471</v>
      </c>
      <c r="B100" s="107" t="s">
        <v>166</v>
      </c>
      <c r="C100" s="18" t="s">
        <v>76</v>
      </c>
      <c r="D100" s="94">
        <v>3.6</v>
      </c>
      <c r="E100" s="99">
        <v>1200</v>
      </c>
      <c r="F100" s="43">
        <f t="shared" si="2"/>
        <v>4320</v>
      </c>
    </row>
    <row r="101" spans="1:6" ht="15" customHeight="1" x14ac:dyDescent="0.25">
      <c r="A101" s="79"/>
      <c r="B101" s="80" t="s">
        <v>167</v>
      </c>
      <c r="C101" s="97"/>
      <c r="D101" s="94">
        <v>0</v>
      </c>
      <c r="E101" s="98"/>
      <c r="F101" s="43"/>
    </row>
    <row r="102" spans="1:6" ht="15" customHeight="1" x14ac:dyDescent="0.25">
      <c r="A102" s="81" t="s">
        <v>159</v>
      </c>
      <c r="B102" s="108" t="s">
        <v>169</v>
      </c>
      <c r="C102" s="18"/>
      <c r="D102" s="94">
        <v>0</v>
      </c>
      <c r="E102" s="99"/>
      <c r="F102" s="43"/>
    </row>
    <row r="103" spans="1:6" ht="15" customHeight="1" x14ac:dyDescent="0.25">
      <c r="A103" s="81" t="s">
        <v>161</v>
      </c>
      <c r="B103" s="107" t="s">
        <v>170</v>
      </c>
      <c r="C103" s="18" t="s">
        <v>171</v>
      </c>
      <c r="D103" s="94">
        <v>1</v>
      </c>
      <c r="E103" s="99">
        <v>31000</v>
      </c>
      <c r="F103" s="43">
        <f t="shared" si="2"/>
        <v>31000</v>
      </c>
    </row>
    <row r="104" spans="1:6" ht="15" customHeight="1" x14ac:dyDescent="0.25">
      <c r="A104" s="81" t="s">
        <v>163</v>
      </c>
      <c r="B104" s="107" t="s">
        <v>172</v>
      </c>
      <c r="C104" s="18" t="s">
        <v>171</v>
      </c>
      <c r="D104" s="94">
        <v>1</v>
      </c>
      <c r="E104" s="99">
        <v>28000</v>
      </c>
      <c r="F104" s="43">
        <f t="shared" si="2"/>
        <v>28000</v>
      </c>
    </row>
    <row r="105" spans="1:6" ht="15" customHeight="1" x14ac:dyDescent="0.25">
      <c r="A105" s="81" t="s">
        <v>165</v>
      </c>
      <c r="B105" s="107" t="s">
        <v>173</v>
      </c>
      <c r="C105" s="18" t="s">
        <v>171</v>
      </c>
      <c r="D105" s="94">
        <v>1</v>
      </c>
      <c r="E105" s="99">
        <v>8000</v>
      </c>
      <c r="F105" s="43">
        <f t="shared" si="2"/>
        <v>8000</v>
      </c>
    </row>
    <row r="106" spans="1:6" ht="15" customHeight="1" x14ac:dyDescent="0.25">
      <c r="A106" s="81" t="s">
        <v>168</v>
      </c>
      <c r="B106" s="108" t="s">
        <v>175</v>
      </c>
      <c r="C106" s="18" t="s">
        <v>76</v>
      </c>
      <c r="D106" s="94">
        <v>10</v>
      </c>
      <c r="E106" s="99">
        <v>1200</v>
      </c>
      <c r="F106" s="43">
        <f t="shared" si="2"/>
        <v>12000</v>
      </c>
    </row>
    <row r="107" spans="1:6" ht="15" customHeight="1" x14ac:dyDescent="0.25">
      <c r="A107" s="83"/>
      <c r="B107" s="80" t="s">
        <v>176</v>
      </c>
      <c r="C107" s="18"/>
      <c r="D107" s="94">
        <v>0</v>
      </c>
      <c r="E107" s="99"/>
      <c r="F107" s="43"/>
    </row>
    <row r="108" spans="1:6" ht="15" customHeight="1" x14ac:dyDescent="0.25">
      <c r="A108" s="81" t="s">
        <v>174</v>
      </c>
      <c r="B108" s="75" t="s">
        <v>177</v>
      </c>
      <c r="C108" s="18"/>
      <c r="D108" s="94"/>
      <c r="E108" s="99"/>
      <c r="F108" s="43"/>
    </row>
    <row r="109" spans="1:6" ht="15" customHeight="1" x14ac:dyDescent="0.25">
      <c r="A109" s="81" t="s">
        <v>472</v>
      </c>
      <c r="B109" s="78" t="s">
        <v>178</v>
      </c>
      <c r="C109" s="18" t="s">
        <v>76</v>
      </c>
      <c r="D109" s="94">
        <f>8*(0.8*2)</f>
        <v>12.8</v>
      </c>
      <c r="E109" s="99">
        <v>3200</v>
      </c>
      <c r="F109" s="43">
        <f t="shared" ref="F109:F110" si="3">D109*E109</f>
        <v>40960</v>
      </c>
    </row>
    <row r="110" spans="1:6" ht="15.75" customHeight="1" thickBot="1" x14ac:dyDescent="0.3">
      <c r="A110" s="81" t="s">
        <v>473</v>
      </c>
      <c r="B110" s="78" t="s">
        <v>179</v>
      </c>
      <c r="C110" s="18" t="s">
        <v>76</v>
      </c>
      <c r="D110" s="95">
        <f>2*(0.8*2.2)</f>
        <v>3.5200000000000005</v>
      </c>
      <c r="E110" s="101">
        <v>3200</v>
      </c>
      <c r="F110" s="43">
        <f t="shared" si="3"/>
        <v>11264.000000000002</v>
      </c>
    </row>
    <row r="111" spans="1:6" ht="32.450000000000003" customHeight="1" thickBot="1" x14ac:dyDescent="0.3">
      <c r="A111" s="159" t="s">
        <v>180</v>
      </c>
      <c r="B111" s="113"/>
      <c r="C111" s="113"/>
      <c r="D111" s="113"/>
      <c r="E111" s="113"/>
      <c r="F111" s="44">
        <f>SUM(F76:F110)</f>
        <v>440644</v>
      </c>
    </row>
    <row r="112" spans="1:6" ht="51.6" customHeight="1" thickBot="1" x14ac:dyDescent="0.3">
      <c r="A112" s="117" t="s">
        <v>181</v>
      </c>
      <c r="B112" s="118" t="s">
        <v>182</v>
      </c>
      <c r="C112" s="118"/>
      <c r="D112" s="118"/>
      <c r="E112" s="118"/>
      <c r="F112" s="119"/>
    </row>
    <row r="113" spans="1:6" ht="21.75" customHeight="1" x14ac:dyDescent="0.25">
      <c r="A113" s="63"/>
      <c r="B113" s="84" t="s">
        <v>183</v>
      </c>
      <c r="C113" s="61"/>
      <c r="D113" s="93"/>
      <c r="E113" s="22"/>
      <c r="F113" s="47"/>
    </row>
    <row r="114" spans="1:6" ht="24" customHeight="1" x14ac:dyDescent="0.25">
      <c r="A114" s="63" t="s">
        <v>184</v>
      </c>
      <c r="B114" s="86" t="s">
        <v>185</v>
      </c>
      <c r="C114" s="18" t="s">
        <v>76</v>
      </c>
      <c r="D114" s="94">
        <v>265</v>
      </c>
      <c r="E114" s="24">
        <v>250</v>
      </c>
      <c r="F114" s="19">
        <f>D114*E114</f>
        <v>66250</v>
      </c>
    </row>
    <row r="115" spans="1:6" ht="15" customHeight="1" x14ac:dyDescent="0.25">
      <c r="A115" s="63" t="s">
        <v>186</v>
      </c>
      <c r="B115" s="67" t="s">
        <v>187</v>
      </c>
      <c r="C115" s="18" t="s">
        <v>76</v>
      </c>
      <c r="D115" s="103">
        <v>251</v>
      </c>
      <c r="E115" s="96">
        <v>300</v>
      </c>
      <c r="F115" s="19">
        <f>D115*E115</f>
        <v>75300</v>
      </c>
    </row>
    <row r="116" spans="1:6" ht="15" customHeight="1" x14ac:dyDescent="0.25">
      <c r="A116" s="63" t="s">
        <v>188</v>
      </c>
      <c r="B116" s="86" t="s">
        <v>189</v>
      </c>
      <c r="C116" s="18" t="s">
        <v>76</v>
      </c>
      <c r="D116" s="94">
        <v>181</v>
      </c>
      <c r="E116" s="24">
        <v>250</v>
      </c>
      <c r="F116" s="19">
        <f t="shared" ref="F116:F123" si="4">D116*E116</f>
        <v>45250</v>
      </c>
    </row>
    <row r="117" spans="1:6" ht="15" customHeight="1" x14ac:dyDescent="0.25">
      <c r="A117" s="63" t="s">
        <v>190</v>
      </c>
      <c r="B117" s="86" t="s">
        <v>191</v>
      </c>
      <c r="C117" s="18" t="s">
        <v>76</v>
      </c>
      <c r="D117" s="94">
        <v>18</v>
      </c>
      <c r="E117" s="24">
        <v>400</v>
      </c>
      <c r="F117" s="19">
        <f t="shared" si="4"/>
        <v>7200</v>
      </c>
    </row>
    <row r="118" spans="1:6" ht="15" customHeight="1" x14ac:dyDescent="0.25">
      <c r="A118" s="63" t="s">
        <v>192</v>
      </c>
      <c r="B118" s="86" t="s">
        <v>193</v>
      </c>
      <c r="C118" s="18" t="s">
        <v>76</v>
      </c>
      <c r="D118" s="94">
        <v>11</v>
      </c>
      <c r="E118" s="24">
        <v>400</v>
      </c>
      <c r="F118" s="19">
        <f t="shared" si="4"/>
        <v>4400</v>
      </c>
    </row>
    <row r="119" spans="1:6" ht="15" customHeight="1" x14ac:dyDescent="0.25">
      <c r="A119" s="63" t="s">
        <v>194</v>
      </c>
      <c r="B119" s="86" t="s">
        <v>195</v>
      </c>
      <c r="C119" s="18" t="s">
        <v>76</v>
      </c>
      <c r="D119" s="94">
        <v>14</v>
      </c>
      <c r="E119" s="24">
        <v>400</v>
      </c>
      <c r="F119" s="19">
        <f t="shared" si="4"/>
        <v>5600</v>
      </c>
    </row>
    <row r="120" spans="1:6" ht="15" customHeight="1" x14ac:dyDescent="0.25">
      <c r="A120" s="63"/>
      <c r="B120" s="85" t="s">
        <v>196</v>
      </c>
      <c r="C120" s="18"/>
      <c r="D120" s="94"/>
      <c r="E120" s="24"/>
      <c r="F120" s="43"/>
    </row>
    <row r="121" spans="1:6" ht="15" customHeight="1" x14ac:dyDescent="0.25">
      <c r="A121" s="63" t="s">
        <v>480</v>
      </c>
      <c r="B121" s="86" t="s">
        <v>197</v>
      </c>
      <c r="C121" s="18" t="s">
        <v>76</v>
      </c>
      <c r="D121" s="94">
        <v>30</v>
      </c>
      <c r="E121" s="24">
        <v>180</v>
      </c>
      <c r="F121" s="43">
        <f t="shared" si="4"/>
        <v>5400</v>
      </c>
    </row>
    <row r="122" spans="1:6" ht="15" customHeight="1" x14ac:dyDescent="0.25">
      <c r="A122" s="63" t="s">
        <v>198</v>
      </c>
      <c r="B122" s="86" t="s">
        <v>199</v>
      </c>
      <c r="C122" s="18" t="s">
        <v>76</v>
      </c>
      <c r="D122" s="94">
        <v>14</v>
      </c>
      <c r="E122" s="24">
        <v>250</v>
      </c>
      <c r="F122" s="43">
        <f t="shared" si="4"/>
        <v>3500</v>
      </c>
    </row>
    <row r="123" spans="1:6" ht="15.75" customHeight="1" thickBot="1" x14ac:dyDescent="0.3">
      <c r="A123" s="63" t="s">
        <v>200</v>
      </c>
      <c r="B123" s="87" t="s">
        <v>201</v>
      </c>
      <c r="C123" s="62" t="s">
        <v>73</v>
      </c>
      <c r="D123" s="95">
        <v>13</v>
      </c>
      <c r="E123" s="24">
        <v>150</v>
      </c>
      <c r="F123" s="43">
        <f t="shared" si="4"/>
        <v>1950</v>
      </c>
    </row>
    <row r="124" spans="1:6" ht="32.450000000000003" customHeight="1" thickBot="1" x14ac:dyDescent="0.3">
      <c r="A124" s="113" t="s">
        <v>202</v>
      </c>
      <c r="B124" s="113"/>
      <c r="C124" s="113"/>
      <c r="D124" s="113"/>
      <c r="E124" s="113"/>
      <c r="F124" s="44">
        <f>SUM(F113:F123)</f>
        <v>214850</v>
      </c>
    </row>
    <row r="125" spans="1:6" ht="51.6" customHeight="1" thickBot="1" x14ac:dyDescent="0.3">
      <c r="A125" s="117" t="s">
        <v>203</v>
      </c>
      <c r="B125" s="118" t="s">
        <v>204</v>
      </c>
      <c r="C125" s="118"/>
      <c r="D125" s="118"/>
      <c r="E125" s="118"/>
      <c r="F125" s="119"/>
    </row>
    <row r="126" spans="1:6" ht="21.75" customHeight="1" x14ac:dyDescent="0.25">
      <c r="A126" s="63" t="s">
        <v>205</v>
      </c>
      <c r="B126" s="86" t="s">
        <v>206</v>
      </c>
      <c r="C126" s="18" t="s">
        <v>76</v>
      </c>
      <c r="D126" s="93">
        <v>1211</v>
      </c>
      <c r="E126" s="24">
        <v>45</v>
      </c>
      <c r="F126" s="43">
        <f>E126*D126</f>
        <v>54495</v>
      </c>
    </row>
    <row r="127" spans="1:6" ht="24" customHeight="1" x14ac:dyDescent="0.25">
      <c r="A127" s="63" t="s">
        <v>207</v>
      </c>
      <c r="B127" s="106" t="s">
        <v>208</v>
      </c>
      <c r="C127" s="18" t="s">
        <v>76</v>
      </c>
      <c r="D127" s="94">
        <v>26</v>
      </c>
      <c r="E127" s="24">
        <v>35</v>
      </c>
      <c r="F127" s="43">
        <f t="shared" ref="F127:F129" si="5">E127*D127</f>
        <v>910</v>
      </c>
    </row>
    <row r="128" spans="1:6" ht="30" customHeight="1" x14ac:dyDescent="0.25">
      <c r="A128" s="63" t="s">
        <v>209</v>
      </c>
      <c r="B128" s="86" t="s">
        <v>210</v>
      </c>
      <c r="C128" s="18" t="s">
        <v>76</v>
      </c>
      <c r="D128" s="94">
        <v>2858</v>
      </c>
      <c r="E128" s="24">
        <v>35</v>
      </c>
      <c r="F128" s="43">
        <f t="shared" si="5"/>
        <v>100030</v>
      </c>
    </row>
    <row r="129" spans="1:6" ht="15.75" customHeight="1" thickBot="1" x14ac:dyDescent="0.3">
      <c r="A129" s="63" t="s">
        <v>211</v>
      </c>
      <c r="B129" s="86" t="s">
        <v>212</v>
      </c>
      <c r="C129" s="18" t="s">
        <v>76</v>
      </c>
      <c r="D129" s="95">
        <v>31</v>
      </c>
      <c r="E129" s="24">
        <v>37</v>
      </c>
      <c r="F129" s="43">
        <f t="shared" si="5"/>
        <v>1147</v>
      </c>
    </row>
    <row r="130" spans="1:6" ht="32.450000000000003" customHeight="1" thickBot="1" x14ac:dyDescent="0.3">
      <c r="A130" s="113" t="s">
        <v>213</v>
      </c>
      <c r="B130" s="113"/>
      <c r="C130" s="113"/>
      <c r="D130" s="113"/>
      <c r="E130" s="113"/>
      <c r="F130" s="44">
        <f>SUM(F126:F129)</f>
        <v>156582</v>
      </c>
    </row>
    <row r="131" spans="1:6" ht="51.6" customHeight="1" thickBot="1" x14ac:dyDescent="0.3">
      <c r="A131" s="117" t="s">
        <v>214</v>
      </c>
      <c r="B131" s="118" t="s">
        <v>215</v>
      </c>
      <c r="C131" s="118"/>
      <c r="D131" s="118"/>
      <c r="E131" s="118"/>
      <c r="F131" s="119"/>
    </row>
    <row r="132" spans="1:6" ht="21.75" customHeight="1" x14ac:dyDescent="0.25">
      <c r="A132" s="63"/>
      <c r="B132" s="85" t="s">
        <v>216</v>
      </c>
      <c r="C132" s="62"/>
      <c r="D132" s="93"/>
      <c r="E132" s="23"/>
      <c r="F132" s="48"/>
    </row>
    <row r="133" spans="1:6" ht="24" customHeight="1" x14ac:dyDescent="0.25">
      <c r="A133" s="63" t="s">
        <v>217</v>
      </c>
      <c r="B133" s="86" t="s">
        <v>218</v>
      </c>
      <c r="C133" s="62" t="s">
        <v>158</v>
      </c>
      <c r="D133" s="94">
        <v>1</v>
      </c>
      <c r="E133" s="24">
        <v>336000</v>
      </c>
      <c r="F133" s="19">
        <f>D133*E133</f>
        <v>336000</v>
      </c>
    </row>
    <row r="134" spans="1:6" ht="15" customHeight="1" x14ac:dyDescent="0.25">
      <c r="A134" s="63" t="s">
        <v>219</v>
      </c>
      <c r="B134" s="67" t="s">
        <v>220</v>
      </c>
      <c r="C134" s="62" t="s">
        <v>34</v>
      </c>
      <c r="D134" s="94">
        <v>1</v>
      </c>
      <c r="E134" s="26">
        <v>32000</v>
      </c>
      <c r="F134" s="43">
        <f t="shared" ref="F134:F161" si="6">D134*E134</f>
        <v>32000</v>
      </c>
    </row>
    <row r="135" spans="1:6" ht="15" customHeight="1" x14ac:dyDescent="0.25">
      <c r="A135" s="63" t="s">
        <v>221</v>
      </c>
      <c r="B135" s="1" t="s">
        <v>222</v>
      </c>
      <c r="C135" s="62" t="s">
        <v>158</v>
      </c>
      <c r="D135" s="94">
        <v>1</v>
      </c>
      <c r="E135" s="26">
        <v>8000</v>
      </c>
      <c r="F135" s="43">
        <f t="shared" si="6"/>
        <v>8000</v>
      </c>
    </row>
    <row r="136" spans="1:6" ht="15" customHeight="1" x14ac:dyDescent="0.25">
      <c r="A136" s="63" t="s">
        <v>223</v>
      </c>
      <c r="B136" s="1" t="s">
        <v>224</v>
      </c>
      <c r="C136" s="62"/>
      <c r="D136" s="94"/>
      <c r="E136" s="26"/>
      <c r="F136" s="43"/>
    </row>
    <row r="137" spans="1:6" ht="15" customHeight="1" x14ac:dyDescent="0.25">
      <c r="A137" s="63" t="s">
        <v>225</v>
      </c>
      <c r="B137" s="1" t="s">
        <v>226</v>
      </c>
      <c r="C137" s="62"/>
      <c r="D137" s="94"/>
      <c r="E137" s="26"/>
      <c r="F137" s="43"/>
    </row>
    <row r="138" spans="1:6" ht="30" customHeight="1" x14ac:dyDescent="0.25">
      <c r="A138" s="63" t="s">
        <v>227</v>
      </c>
      <c r="B138" s="3" t="s">
        <v>228</v>
      </c>
      <c r="C138" s="62" t="s">
        <v>34</v>
      </c>
      <c r="D138" s="94">
        <v>15</v>
      </c>
      <c r="E138" s="26">
        <v>160</v>
      </c>
      <c r="F138" s="43">
        <f t="shared" si="6"/>
        <v>2400</v>
      </c>
    </row>
    <row r="139" spans="1:6" ht="30" customHeight="1" x14ac:dyDescent="0.25">
      <c r="A139" s="63" t="s">
        <v>229</v>
      </c>
      <c r="B139" s="3" t="s">
        <v>230</v>
      </c>
      <c r="C139" s="62" t="s">
        <v>34</v>
      </c>
      <c r="D139" s="94">
        <v>64</v>
      </c>
      <c r="E139" s="26">
        <v>145</v>
      </c>
      <c r="F139" s="43">
        <f t="shared" si="6"/>
        <v>9280</v>
      </c>
    </row>
    <row r="140" spans="1:6" ht="15" customHeight="1" x14ac:dyDescent="0.25">
      <c r="A140" s="63" t="s">
        <v>231</v>
      </c>
      <c r="B140" s="1" t="s">
        <v>232</v>
      </c>
      <c r="C140" s="62"/>
      <c r="D140" s="94">
        <v>0</v>
      </c>
      <c r="E140" s="26"/>
      <c r="F140" s="43">
        <f t="shared" si="6"/>
        <v>0</v>
      </c>
    </row>
    <row r="141" spans="1:6" ht="30" customHeight="1" x14ac:dyDescent="0.25">
      <c r="A141" s="63" t="s">
        <v>233</v>
      </c>
      <c r="B141" s="3" t="s">
        <v>234</v>
      </c>
      <c r="C141" s="62" t="s">
        <v>34</v>
      </c>
      <c r="D141" s="94">
        <v>13</v>
      </c>
      <c r="E141" s="26">
        <v>190</v>
      </c>
      <c r="F141" s="43">
        <f t="shared" si="6"/>
        <v>2470</v>
      </c>
    </row>
    <row r="142" spans="1:6" ht="30" customHeight="1" x14ac:dyDescent="0.25">
      <c r="A142" s="63" t="s">
        <v>235</v>
      </c>
      <c r="B142" s="3" t="s">
        <v>236</v>
      </c>
      <c r="C142" s="62" t="s">
        <v>34</v>
      </c>
      <c r="D142" s="94">
        <v>19</v>
      </c>
      <c r="E142" s="26">
        <v>170</v>
      </c>
      <c r="F142" s="43">
        <f>D142*E142</f>
        <v>3230</v>
      </c>
    </row>
    <row r="143" spans="1:6" ht="15" customHeight="1" x14ac:dyDescent="0.25">
      <c r="A143" s="63" t="s">
        <v>237</v>
      </c>
      <c r="B143" s="1" t="s">
        <v>238</v>
      </c>
      <c r="C143" s="62"/>
      <c r="D143" s="94">
        <v>0</v>
      </c>
      <c r="E143" s="26"/>
      <c r="F143" s="43">
        <f t="shared" si="6"/>
        <v>0</v>
      </c>
    </row>
    <row r="144" spans="1:6" ht="15" customHeight="1" x14ac:dyDescent="0.25">
      <c r="A144" s="63" t="s">
        <v>239</v>
      </c>
      <c r="B144" s="3" t="s">
        <v>240</v>
      </c>
      <c r="C144" s="62" t="s">
        <v>34</v>
      </c>
      <c r="D144" s="94">
        <v>1</v>
      </c>
      <c r="E144" s="26">
        <v>220</v>
      </c>
      <c r="F144" s="43">
        <f t="shared" si="6"/>
        <v>220</v>
      </c>
    </row>
    <row r="145" spans="1:6" ht="15" customHeight="1" x14ac:dyDescent="0.25">
      <c r="A145" s="63" t="s">
        <v>241</v>
      </c>
      <c r="B145" s="3" t="s">
        <v>242</v>
      </c>
      <c r="C145" s="62" t="s">
        <v>34</v>
      </c>
      <c r="D145" s="94">
        <v>3</v>
      </c>
      <c r="E145" s="26">
        <v>200</v>
      </c>
      <c r="F145" s="43">
        <f t="shared" si="6"/>
        <v>600</v>
      </c>
    </row>
    <row r="146" spans="1:6" ht="15" customHeight="1" x14ac:dyDescent="0.25">
      <c r="A146" s="63" t="s">
        <v>243</v>
      </c>
      <c r="B146" s="1" t="s">
        <v>244</v>
      </c>
      <c r="C146" s="62"/>
      <c r="D146" s="94"/>
      <c r="E146" s="26"/>
      <c r="F146" s="43"/>
    </row>
    <row r="147" spans="1:6" ht="15" customHeight="1" x14ac:dyDescent="0.25">
      <c r="A147" s="63" t="s">
        <v>245</v>
      </c>
      <c r="B147" s="3" t="s">
        <v>246</v>
      </c>
      <c r="C147" s="62" t="s">
        <v>34</v>
      </c>
      <c r="D147" s="94">
        <v>16</v>
      </c>
      <c r="E147" s="26">
        <v>120</v>
      </c>
      <c r="F147" s="43">
        <f t="shared" si="6"/>
        <v>1920</v>
      </c>
    </row>
    <row r="148" spans="1:6" ht="15" customHeight="1" x14ac:dyDescent="0.25">
      <c r="A148" s="63" t="s">
        <v>247</v>
      </c>
      <c r="B148" s="3" t="s">
        <v>248</v>
      </c>
      <c r="C148" s="62" t="s">
        <v>34</v>
      </c>
      <c r="D148" s="94">
        <v>12</v>
      </c>
      <c r="E148" s="26">
        <v>140</v>
      </c>
      <c r="F148" s="43">
        <f t="shared" si="6"/>
        <v>1680</v>
      </c>
    </row>
    <row r="149" spans="1:6" ht="15" customHeight="1" x14ac:dyDescent="0.25">
      <c r="A149" s="63" t="s">
        <v>249</v>
      </c>
      <c r="B149" s="3" t="s">
        <v>250</v>
      </c>
      <c r="C149" s="62" t="s">
        <v>34</v>
      </c>
      <c r="D149" s="94">
        <v>2</v>
      </c>
      <c r="E149" s="26">
        <v>130</v>
      </c>
      <c r="F149" s="43">
        <f t="shared" si="6"/>
        <v>260</v>
      </c>
    </row>
    <row r="150" spans="1:6" ht="30" customHeight="1" x14ac:dyDescent="0.25">
      <c r="A150" s="63" t="s">
        <v>251</v>
      </c>
      <c r="B150" s="3" t="s">
        <v>252</v>
      </c>
      <c r="C150" s="62" t="s">
        <v>34</v>
      </c>
      <c r="D150" s="94">
        <v>6</v>
      </c>
      <c r="E150" s="26">
        <v>220</v>
      </c>
      <c r="F150" s="43">
        <f t="shared" si="6"/>
        <v>1320</v>
      </c>
    </row>
    <row r="151" spans="1:6" ht="30" customHeight="1" x14ac:dyDescent="0.25">
      <c r="A151" s="63" t="s">
        <v>253</v>
      </c>
      <c r="B151" s="3" t="s">
        <v>254</v>
      </c>
      <c r="C151" s="62" t="s">
        <v>34</v>
      </c>
      <c r="D151" s="94">
        <v>11</v>
      </c>
      <c r="E151" s="26">
        <v>230</v>
      </c>
      <c r="F151" s="43">
        <f t="shared" si="6"/>
        <v>2530</v>
      </c>
    </row>
    <row r="152" spans="1:6" ht="15" customHeight="1" x14ac:dyDescent="0.25">
      <c r="A152" s="63" t="s">
        <v>255</v>
      </c>
      <c r="B152" s="3" t="s">
        <v>256</v>
      </c>
      <c r="C152" s="62" t="s">
        <v>34</v>
      </c>
      <c r="D152" s="94">
        <v>16</v>
      </c>
      <c r="E152" s="26">
        <v>150</v>
      </c>
      <c r="F152" s="43">
        <f t="shared" si="6"/>
        <v>2400</v>
      </c>
    </row>
    <row r="153" spans="1:6" ht="15" customHeight="1" x14ac:dyDescent="0.25">
      <c r="A153" s="63" t="s">
        <v>257</v>
      </c>
      <c r="B153" s="3" t="s">
        <v>258</v>
      </c>
      <c r="C153" s="62" t="s">
        <v>34</v>
      </c>
      <c r="D153" s="94">
        <v>20</v>
      </c>
      <c r="E153" s="26">
        <v>180</v>
      </c>
      <c r="F153" s="43">
        <f t="shared" si="6"/>
        <v>3600</v>
      </c>
    </row>
    <row r="154" spans="1:6" ht="15" customHeight="1" x14ac:dyDescent="0.25">
      <c r="A154" s="63" t="s">
        <v>259</v>
      </c>
      <c r="B154" s="1" t="s">
        <v>260</v>
      </c>
      <c r="C154" s="62"/>
      <c r="D154" s="94"/>
      <c r="E154" s="26"/>
      <c r="F154" s="43"/>
    </row>
    <row r="155" spans="1:6" ht="15" customHeight="1" x14ac:dyDescent="0.25">
      <c r="A155" s="63" t="s">
        <v>261</v>
      </c>
      <c r="B155" s="3" t="s">
        <v>262</v>
      </c>
      <c r="C155" s="62" t="s">
        <v>263</v>
      </c>
      <c r="D155" s="94">
        <v>16</v>
      </c>
      <c r="E155" s="26">
        <v>300</v>
      </c>
      <c r="F155" s="43">
        <f t="shared" ref="F155:F160" si="7">E155*D155</f>
        <v>4800</v>
      </c>
    </row>
    <row r="156" spans="1:6" ht="15" customHeight="1" x14ac:dyDescent="0.25">
      <c r="A156" s="63" t="s">
        <v>264</v>
      </c>
      <c r="B156" s="3" t="s">
        <v>265</v>
      </c>
      <c r="C156" s="62" t="s">
        <v>263</v>
      </c>
      <c r="D156" s="94">
        <v>2</v>
      </c>
      <c r="E156" s="26">
        <v>400</v>
      </c>
      <c r="F156" s="43">
        <f t="shared" si="7"/>
        <v>800</v>
      </c>
    </row>
    <row r="157" spans="1:6" ht="15" customHeight="1" x14ac:dyDescent="0.25">
      <c r="A157" s="63" t="s">
        <v>266</v>
      </c>
      <c r="B157" s="3" t="s">
        <v>267</v>
      </c>
      <c r="C157" s="62" t="s">
        <v>34</v>
      </c>
      <c r="D157" s="94">
        <v>8</v>
      </c>
      <c r="E157" s="26">
        <v>1400</v>
      </c>
      <c r="F157" s="19">
        <f t="shared" si="7"/>
        <v>11200</v>
      </c>
    </row>
    <row r="158" spans="1:6" ht="15" customHeight="1" x14ac:dyDescent="0.25">
      <c r="A158" s="63" t="s">
        <v>268</v>
      </c>
      <c r="B158" s="3" t="s">
        <v>269</v>
      </c>
      <c r="C158" s="62" t="s">
        <v>263</v>
      </c>
      <c r="D158" s="94">
        <v>10</v>
      </c>
      <c r="E158" s="26">
        <v>350</v>
      </c>
      <c r="F158" s="19">
        <f t="shared" si="7"/>
        <v>3500</v>
      </c>
    </row>
    <row r="159" spans="1:6" ht="15" customHeight="1" x14ac:dyDescent="0.25">
      <c r="A159" s="63" t="s">
        <v>270</v>
      </c>
      <c r="B159" s="3" t="s">
        <v>271</v>
      </c>
      <c r="C159" s="62" t="s">
        <v>263</v>
      </c>
      <c r="D159" s="94">
        <v>15</v>
      </c>
      <c r="E159" s="26">
        <v>400</v>
      </c>
      <c r="F159" s="19">
        <f t="shared" si="7"/>
        <v>6000</v>
      </c>
    </row>
    <row r="160" spans="1:6" ht="15" customHeight="1" x14ac:dyDescent="0.25">
      <c r="A160" s="63" t="s">
        <v>272</v>
      </c>
      <c r="B160" s="3" t="s">
        <v>273</v>
      </c>
      <c r="C160" s="62" t="s">
        <v>263</v>
      </c>
      <c r="D160" s="94">
        <v>24</v>
      </c>
      <c r="E160" s="26">
        <v>550</v>
      </c>
      <c r="F160" s="43">
        <f t="shared" si="7"/>
        <v>13200</v>
      </c>
    </row>
    <row r="161" spans="1:6" ht="15" customHeight="1" x14ac:dyDescent="0.25">
      <c r="A161" s="63" t="s">
        <v>274</v>
      </c>
      <c r="B161" s="1" t="s">
        <v>275</v>
      </c>
      <c r="C161" s="62" t="s">
        <v>34</v>
      </c>
      <c r="D161" s="94">
        <v>12</v>
      </c>
      <c r="E161" s="26">
        <v>600</v>
      </c>
      <c r="F161" s="43">
        <f t="shared" si="6"/>
        <v>7200</v>
      </c>
    </row>
    <row r="162" spans="1:6" ht="15.75" customHeight="1" thickBot="1" x14ac:dyDescent="0.3">
      <c r="A162" s="63" t="s">
        <v>276</v>
      </c>
      <c r="B162" s="1" t="s">
        <v>277</v>
      </c>
      <c r="C162" s="62" t="s">
        <v>278</v>
      </c>
      <c r="D162" s="95">
        <v>1</v>
      </c>
      <c r="E162" s="20">
        <v>8500</v>
      </c>
      <c r="F162" s="19">
        <f>D162*E162</f>
        <v>8500</v>
      </c>
    </row>
    <row r="163" spans="1:6" ht="20.45" customHeight="1" thickBot="1" x14ac:dyDescent="0.3">
      <c r="A163" s="7"/>
      <c r="B163" s="120" t="s">
        <v>279</v>
      </c>
      <c r="C163" s="120"/>
      <c r="D163" s="120"/>
      <c r="E163" s="120"/>
      <c r="F163" s="49">
        <f>SUM(F132:F162)</f>
        <v>463110</v>
      </c>
    </row>
    <row r="164" spans="1:6" ht="15" customHeight="1" x14ac:dyDescent="0.25">
      <c r="A164" s="63"/>
      <c r="B164" s="2" t="s">
        <v>280</v>
      </c>
      <c r="C164" s="62"/>
      <c r="D164" s="93"/>
      <c r="E164" s="20"/>
      <c r="F164" s="43"/>
    </row>
    <row r="165" spans="1:6" ht="15.75" customHeight="1" thickBot="1" x14ac:dyDescent="0.3">
      <c r="A165" s="63" t="s">
        <v>281</v>
      </c>
      <c r="B165" s="1" t="s">
        <v>282</v>
      </c>
      <c r="C165" s="62" t="s">
        <v>158</v>
      </c>
      <c r="D165" s="95">
        <v>1</v>
      </c>
      <c r="E165" s="20">
        <v>630</v>
      </c>
      <c r="F165" s="43">
        <f t="shared" ref="F165" si="8">D165*E165</f>
        <v>630</v>
      </c>
    </row>
    <row r="166" spans="1:6" ht="15.75" customHeight="1" thickBot="1" x14ac:dyDescent="0.3">
      <c r="A166" s="7"/>
      <c r="B166" s="120" t="s">
        <v>283</v>
      </c>
      <c r="C166" s="120"/>
      <c r="D166" s="120"/>
      <c r="E166" s="120"/>
      <c r="F166" s="49">
        <f>SUM(F164:F165)</f>
        <v>630</v>
      </c>
    </row>
    <row r="167" spans="1:6" ht="32.450000000000003" customHeight="1" thickBot="1" x14ac:dyDescent="0.3">
      <c r="A167" s="121" t="s">
        <v>284</v>
      </c>
      <c r="B167" s="122"/>
      <c r="C167" s="122"/>
      <c r="D167" s="122"/>
      <c r="E167" s="123"/>
      <c r="F167" s="44">
        <f>+F166+F163</f>
        <v>463740</v>
      </c>
    </row>
    <row r="168" spans="1:6" ht="51.6" customHeight="1" thickBot="1" x14ac:dyDescent="0.3">
      <c r="A168" s="125" t="s">
        <v>285</v>
      </c>
      <c r="B168" s="126"/>
      <c r="C168" s="126"/>
      <c r="D168" s="126"/>
      <c r="E168" s="126"/>
      <c r="F168" s="127"/>
    </row>
    <row r="169" spans="1:6" ht="21.75" customHeight="1" x14ac:dyDescent="0.25">
      <c r="A169" s="64"/>
      <c r="B169" s="2" t="s">
        <v>286</v>
      </c>
      <c r="C169" s="35"/>
      <c r="D169" s="93"/>
      <c r="E169" s="37"/>
      <c r="F169" s="50"/>
    </row>
    <row r="170" spans="1:6" ht="24" customHeight="1" x14ac:dyDescent="0.25">
      <c r="A170" s="65" t="s">
        <v>287</v>
      </c>
      <c r="B170" s="1" t="s">
        <v>288</v>
      </c>
      <c r="C170" s="35" t="s">
        <v>158</v>
      </c>
      <c r="D170" s="94">
        <v>1</v>
      </c>
      <c r="E170" s="37">
        <v>15000</v>
      </c>
      <c r="F170" s="36">
        <f>+E170*D170</f>
        <v>15000</v>
      </c>
    </row>
    <row r="171" spans="1:6" ht="15" customHeight="1" x14ac:dyDescent="0.25">
      <c r="A171" s="65" t="s">
        <v>289</v>
      </c>
      <c r="B171" s="1" t="s">
        <v>290</v>
      </c>
      <c r="C171" s="35" t="s">
        <v>158</v>
      </c>
      <c r="D171" s="94">
        <v>1</v>
      </c>
      <c r="E171" s="37">
        <v>13000</v>
      </c>
      <c r="F171" s="36">
        <f t="shared" ref="F171:F212" si="9">+E171*D171</f>
        <v>13000</v>
      </c>
    </row>
    <row r="172" spans="1:6" ht="15" customHeight="1" x14ac:dyDescent="0.25">
      <c r="A172" s="65" t="s">
        <v>291</v>
      </c>
      <c r="B172" s="1" t="s">
        <v>292</v>
      </c>
      <c r="C172" s="35"/>
      <c r="D172" s="94"/>
      <c r="E172" s="37"/>
      <c r="F172" s="36"/>
    </row>
    <row r="173" spans="1:6" ht="15" customHeight="1" x14ac:dyDescent="0.25">
      <c r="A173" s="65" t="s">
        <v>293</v>
      </c>
      <c r="B173" s="1" t="s">
        <v>294</v>
      </c>
      <c r="C173" s="35" t="s">
        <v>73</v>
      </c>
      <c r="D173" s="94">
        <v>21</v>
      </c>
      <c r="E173" s="37">
        <v>210</v>
      </c>
      <c r="F173" s="36">
        <f t="shared" si="9"/>
        <v>4410</v>
      </c>
    </row>
    <row r="174" spans="1:6" ht="15" customHeight="1" x14ac:dyDescent="0.25">
      <c r="A174" s="65" t="s">
        <v>295</v>
      </c>
      <c r="B174" s="1" t="s">
        <v>296</v>
      </c>
      <c r="C174" s="35"/>
      <c r="D174" s="94"/>
      <c r="E174" s="37"/>
      <c r="F174" s="36"/>
    </row>
    <row r="175" spans="1:6" ht="15" customHeight="1" x14ac:dyDescent="0.25">
      <c r="A175" s="110" t="s">
        <v>297</v>
      </c>
      <c r="B175" s="3" t="s">
        <v>298</v>
      </c>
      <c r="C175" s="35" t="s">
        <v>73</v>
      </c>
      <c r="D175" s="94">
        <v>16</v>
      </c>
      <c r="E175" s="37">
        <v>82</v>
      </c>
      <c r="F175" s="36">
        <f t="shared" si="9"/>
        <v>1312</v>
      </c>
    </row>
    <row r="176" spans="1:6" ht="15" customHeight="1" x14ac:dyDescent="0.25">
      <c r="A176" s="110" t="s">
        <v>299</v>
      </c>
      <c r="B176" s="3" t="s">
        <v>300</v>
      </c>
      <c r="C176" s="35" t="s">
        <v>73</v>
      </c>
      <c r="D176" s="94">
        <v>53</v>
      </c>
      <c r="E176" s="37">
        <v>76</v>
      </c>
      <c r="F176" s="36">
        <f t="shared" si="9"/>
        <v>4028</v>
      </c>
    </row>
    <row r="177" spans="1:6" ht="15" customHeight="1" x14ac:dyDescent="0.25">
      <c r="A177" s="110" t="s">
        <v>301</v>
      </c>
      <c r="B177" s="3" t="s">
        <v>302</v>
      </c>
      <c r="C177" s="35" t="s">
        <v>73</v>
      </c>
      <c r="D177" s="94">
        <v>55</v>
      </c>
      <c r="E177" s="37">
        <v>60</v>
      </c>
      <c r="F177" s="36">
        <f t="shared" si="9"/>
        <v>3300</v>
      </c>
    </row>
    <row r="178" spans="1:6" ht="15" customHeight="1" x14ac:dyDescent="0.25">
      <c r="A178" s="110" t="s">
        <v>303</v>
      </c>
      <c r="B178" s="3" t="s">
        <v>304</v>
      </c>
      <c r="C178" s="35" t="s">
        <v>73</v>
      </c>
      <c r="D178" s="94">
        <v>32</v>
      </c>
      <c r="E178" s="37">
        <v>30</v>
      </c>
      <c r="F178" s="36">
        <f t="shared" si="9"/>
        <v>960</v>
      </c>
    </row>
    <row r="179" spans="1:6" ht="15" customHeight="1" x14ac:dyDescent="0.25">
      <c r="A179" s="110" t="s">
        <v>305</v>
      </c>
      <c r="B179" s="3" t="s">
        <v>306</v>
      </c>
      <c r="C179" s="35" t="s">
        <v>73</v>
      </c>
      <c r="D179" s="94">
        <v>76</v>
      </c>
      <c r="E179" s="37">
        <v>20</v>
      </c>
      <c r="F179" s="36">
        <f t="shared" si="9"/>
        <v>1520</v>
      </c>
    </row>
    <row r="180" spans="1:6" ht="15" customHeight="1" x14ac:dyDescent="0.25">
      <c r="A180" s="65" t="s">
        <v>307</v>
      </c>
      <c r="B180" s="1" t="s">
        <v>308</v>
      </c>
      <c r="C180" s="35"/>
      <c r="D180" s="94">
        <v>0</v>
      </c>
      <c r="E180" s="37"/>
      <c r="F180" s="36">
        <f t="shared" si="9"/>
        <v>0</v>
      </c>
    </row>
    <row r="181" spans="1:6" ht="15" customHeight="1" x14ac:dyDescent="0.25">
      <c r="A181" s="110" t="s">
        <v>309</v>
      </c>
      <c r="B181" s="3" t="s">
        <v>310</v>
      </c>
      <c r="C181" s="35" t="s">
        <v>73</v>
      </c>
      <c r="D181" s="94">
        <v>105</v>
      </c>
      <c r="E181" s="37">
        <v>60</v>
      </c>
      <c r="F181" s="36">
        <f t="shared" si="9"/>
        <v>6300</v>
      </c>
    </row>
    <row r="182" spans="1:6" ht="15" customHeight="1" x14ac:dyDescent="0.25">
      <c r="A182" s="110" t="s">
        <v>311</v>
      </c>
      <c r="B182" s="3" t="s">
        <v>312</v>
      </c>
      <c r="C182" s="35" t="s">
        <v>73</v>
      </c>
      <c r="D182" s="94">
        <v>28</v>
      </c>
      <c r="E182" s="37">
        <v>80</v>
      </c>
      <c r="F182" s="36">
        <f t="shared" si="9"/>
        <v>2240</v>
      </c>
    </row>
    <row r="183" spans="1:6" ht="15" customHeight="1" x14ac:dyDescent="0.25">
      <c r="A183" s="110" t="s">
        <v>313</v>
      </c>
      <c r="B183" s="3" t="s">
        <v>314</v>
      </c>
      <c r="C183" s="35" t="s">
        <v>34</v>
      </c>
      <c r="D183" s="94">
        <v>5</v>
      </c>
      <c r="E183" s="37">
        <v>900</v>
      </c>
      <c r="F183" s="36">
        <f t="shared" si="9"/>
        <v>4500</v>
      </c>
    </row>
    <row r="184" spans="1:6" ht="15" customHeight="1" x14ac:dyDescent="0.25">
      <c r="A184" s="65" t="s">
        <v>315</v>
      </c>
      <c r="B184" s="1" t="s">
        <v>316</v>
      </c>
      <c r="C184" s="35"/>
      <c r="D184" s="94">
        <v>0</v>
      </c>
      <c r="E184" s="37"/>
      <c r="F184" s="36">
        <f t="shared" si="9"/>
        <v>0</v>
      </c>
    </row>
    <row r="185" spans="1:6" x14ac:dyDescent="0.25">
      <c r="A185" s="110" t="s">
        <v>317</v>
      </c>
      <c r="B185" s="3" t="s">
        <v>318</v>
      </c>
      <c r="C185" s="35" t="s">
        <v>34</v>
      </c>
      <c r="D185" s="94">
        <v>1</v>
      </c>
      <c r="E185" s="37">
        <v>380</v>
      </c>
      <c r="F185" s="36">
        <f t="shared" si="9"/>
        <v>380</v>
      </c>
    </row>
    <row r="186" spans="1:6" x14ac:dyDescent="0.25">
      <c r="A186" s="110" t="s">
        <v>319</v>
      </c>
      <c r="B186" s="3" t="s">
        <v>320</v>
      </c>
      <c r="C186" s="35" t="s">
        <v>34</v>
      </c>
      <c r="D186" s="94">
        <v>1</v>
      </c>
      <c r="E186" s="37">
        <v>320</v>
      </c>
      <c r="F186" s="36">
        <f t="shared" si="9"/>
        <v>320</v>
      </c>
    </row>
    <row r="187" spans="1:6" x14ac:dyDescent="0.25">
      <c r="A187" s="110" t="s">
        <v>321</v>
      </c>
      <c r="B187" s="3" t="s">
        <v>322</v>
      </c>
      <c r="C187" s="35" t="s">
        <v>34</v>
      </c>
      <c r="D187" s="94">
        <v>4</v>
      </c>
      <c r="E187" s="37">
        <v>240</v>
      </c>
      <c r="F187" s="36">
        <f t="shared" si="9"/>
        <v>960</v>
      </c>
    </row>
    <row r="188" spans="1:6" x14ac:dyDescent="0.25">
      <c r="A188" s="110" t="s">
        <v>323</v>
      </c>
      <c r="B188" s="3" t="s">
        <v>324</v>
      </c>
      <c r="C188" s="35" t="s">
        <v>34</v>
      </c>
      <c r="D188" s="94">
        <v>1</v>
      </c>
      <c r="E188" s="37">
        <v>200</v>
      </c>
      <c r="F188" s="36">
        <f t="shared" si="9"/>
        <v>200</v>
      </c>
    </row>
    <row r="189" spans="1:6" ht="15" customHeight="1" x14ac:dyDescent="0.25">
      <c r="A189" s="65" t="s">
        <v>325</v>
      </c>
      <c r="B189" s="1" t="s">
        <v>326</v>
      </c>
      <c r="C189" s="35" t="s">
        <v>34</v>
      </c>
      <c r="D189" s="94">
        <v>11</v>
      </c>
      <c r="E189" s="37">
        <v>150</v>
      </c>
      <c r="F189" s="36">
        <f t="shared" si="9"/>
        <v>1650</v>
      </c>
    </row>
    <row r="190" spans="1:6" ht="15" customHeight="1" x14ac:dyDescent="0.25">
      <c r="A190" s="65" t="s">
        <v>327</v>
      </c>
      <c r="B190" s="1" t="s">
        <v>328</v>
      </c>
      <c r="C190" s="35"/>
      <c r="D190" s="94"/>
      <c r="E190" s="37"/>
      <c r="F190" s="36"/>
    </row>
    <row r="191" spans="1:6" ht="15" customHeight="1" x14ac:dyDescent="0.25">
      <c r="A191" s="110" t="s">
        <v>329</v>
      </c>
      <c r="B191" s="3" t="s">
        <v>330</v>
      </c>
      <c r="C191" s="35" t="s">
        <v>34</v>
      </c>
      <c r="D191" s="94">
        <v>1</v>
      </c>
      <c r="E191" s="37">
        <v>3500</v>
      </c>
      <c r="F191" s="36">
        <f t="shared" si="9"/>
        <v>3500</v>
      </c>
    </row>
    <row r="192" spans="1:6" ht="15" customHeight="1" x14ac:dyDescent="0.25">
      <c r="A192" s="110" t="s">
        <v>331</v>
      </c>
      <c r="B192" s="3" t="s">
        <v>332</v>
      </c>
      <c r="C192" s="35" t="s">
        <v>34</v>
      </c>
      <c r="D192" s="94">
        <v>2</v>
      </c>
      <c r="E192" s="37">
        <v>5700</v>
      </c>
      <c r="F192" s="36">
        <f t="shared" si="9"/>
        <v>11400</v>
      </c>
    </row>
    <row r="193" spans="1:6" ht="15" customHeight="1" x14ac:dyDescent="0.25">
      <c r="A193" s="65"/>
      <c r="B193" s="2" t="s">
        <v>333</v>
      </c>
      <c r="C193" s="35"/>
      <c r="D193" s="94"/>
      <c r="E193" s="37"/>
      <c r="F193" s="36"/>
    </row>
    <row r="194" spans="1:6" x14ac:dyDescent="0.25">
      <c r="A194" s="65" t="s">
        <v>334</v>
      </c>
      <c r="B194" s="1" t="s">
        <v>335</v>
      </c>
      <c r="C194" s="35"/>
      <c r="D194" s="94"/>
      <c r="E194" s="37"/>
      <c r="F194" s="36"/>
    </row>
    <row r="195" spans="1:6" ht="15" customHeight="1" x14ac:dyDescent="0.25">
      <c r="A195" s="110" t="s">
        <v>336</v>
      </c>
      <c r="B195" s="3" t="s">
        <v>337</v>
      </c>
      <c r="C195" s="35" t="s">
        <v>34</v>
      </c>
      <c r="D195" s="94">
        <v>4</v>
      </c>
      <c r="E195" s="37">
        <v>1600</v>
      </c>
      <c r="F195" s="37">
        <f t="shared" si="9"/>
        <v>6400</v>
      </c>
    </row>
    <row r="196" spans="1:6" ht="15" customHeight="1" x14ac:dyDescent="0.25">
      <c r="A196" s="110" t="s">
        <v>338</v>
      </c>
      <c r="B196" s="3" t="s">
        <v>339</v>
      </c>
      <c r="C196" s="35" t="s">
        <v>34</v>
      </c>
      <c r="D196" s="94">
        <v>2</v>
      </c>
      <c r="E196" s="37">
        <v>1900</v>
      </c>
      <c r="F196" s="37">
        <f t="shared" si="9"/>
        <v>3800</v>
      </c>
    </row>
    <row r="197" spans="1:6" ht="15" customHeight="1" x14ac:dyDescent="0.25">
      <c r="A197" s="110" t="s">
        <v>340</v>
      </c>
      <c r="B197" s="3" t="s">
        <v>341</v>
      </c>
      <c r="C197" s="35" t="s">
        <v>34</v>
      </c>
      <c r="D197" s="94">
        <v>1</v>
      </c>
      <c r="E197" s="37">
        <v>2500</v>
      </c>
      <c r="F197" s="37">
        <f t="shared" si="9"/>
        <v>2500</v>
      </c>
    </row>
    <row r="198" spans="1:6" ht="15" customHeight="1" x14ac:dyDescent="0.25">
      <c r="A198" s="110" t="s">
        <v>342</v>
      </c>
      <c r="B198" s="3" t="s">
        <v>343</v>
      </c>
      <c r="C198" s="35" t="s">
        <v>34</v>
      </c>
      <c r="D198" s="94">
        <v>2</v>
      </c>
      <c r="E198" s="37">
        <v>1000</v>
      </c>
      <c r="F198" s="37">
        <f t="shared" si="9"/>
        <v>2000</v>
      </c>
    </row>
    <row r="199" spans="1:6" ht="15" customHeight="1" x14ac:dyDescent="0.25">
      <c r="A199" s="110" t="s">
        <v>344</v>
      </c>
      <c r="B199" s="3" t="s">
        <v>345</v>
      </c>
      <c r="C199" s="35" t="s">
        <v>34</v>
      </c>
      <c r="D199" s="94">
        <v>4</v>
      </c>
      <c r="E199" s="37">
        <v>1500</v>
      </c>
      <c r="F199" s="37">
        <f t="shared" si="9"/>
        <v>6000</v>
      </c>
    </row>
    <row r="200" spans="1:6" ht="15" customHeight="1" x14ac:dyDescent="0.25">
      <c r="A200" s="110" t="s">
        <v>346</v>
      </c>
      <c r="B200" s="3" t="s">
        <v>347</v>
      </c>
      <c r="C200" s="35" t="s">
        <v>34</v>
      </c>
      <c r="D200" s="94">
        <v>2</v>
      </c>
      <c r="E200" s="37">
        <v>500</v>
      </c>
      <c r="F200" s="37">
        <f t="shared" si="9"/>
        <v>1000</v>
      </c>
    </row>
    <row r="201" spans="1:6" ht="15" customHeight="1" x14ac:dyDescent="0.25">
      <c r="A201" s="65"/>
      <c r="B201" s="2" t="s">
        <v>348</v>
      </c>
      <c r="C201" s="35"/>
      <c r="D201" s="94"/>
      <c r="E201" s="37"/>
      <c r="F201" s="37"/>
    </row>
    <row r="202" spans="1:6" ht="15" customHeight="1" x14ac:dyDescent="0.25">
      <c r="A202" s="65" t="s">
        <v>349</v>
      </c>
      <c r="B202" s="1" t="s">
        <v>350</v>
      </c>
      <c r="C202" s="35" t="s">
        <v>73</v>
      </c>
      <c r="D202" s="94">
        <v>32</v>
      </c>
      <c r="E202" s="37">
        <v>450</v>
      </c>
      <c r="F202" s="36">
        <f t="shared" si="9"/>
        <v>14400</v>
      </c>
    </row>
    <row r="203" spans="1:6" ht="15" customHeight="1" x14ac:dyDescent="0.25">
      <c r="A203" s="65" t="s">
        <v>351</v>
      </c>
      <c r="B203" s="1" t="s">
        <v>352</v>
      </c>
      <c r="C203" s="35" t="s">
        <v>34</v>
      </c>
      <c r="D203" s="94">
        <v>8</v>
      </c>
      <c r="E203" s="37">
        <v>600</v>
      </c>
      <c r="F203" s="36">
        <f t="shared" si="9"/>
        <v>4800</v>
      </c>
    </row>
    <row r="204" spans="1:6" ht="15" customHeight="1" x14ac:dyDescent="0.25">
      <c r="A204" s="65" t="s">
        <v>353</v>
      </c>
      <c r="B204" s="1" t="s">
        <v>354</v>
      </c>
      <c r="C204" s="35"/>
      <c r="D204" s="94"/>
      <c r="E204" s="37"/>
      <c r="F204" s="36"/>
    </row>
    <row r="205" spans="1:6" ht="15" customHeight="1" x14ac:dyDescent="0.25">
      <c r="A205" s="110" t="s">
        <v>355</v>
      </c>
      <c r="B205" s="3" t="s">
        <v>356</v>
      </c>
      <c r="C205" s="35" t="s">
        <v>73</v>
      </c>
      <c r="D205" s="94">
        <v>37</v>
      </c>
      <c r="E205" s="37">
        <v>40</v>
      </c>
      <c r="F205" s="36">
        <f t="shared" si="9"/>
        <v>1480</v>
      </c>
    </row>
    <row r="206" spans="1:6" ht="15" customHeight="1" x14ac:dyDescent="0.25">
      <c r="A206" s="110" t="s">
        <v>357</v>
      </c>
      <c r="B206" s="3" t="s">
        <v>358</v>
      </c>
      <c r="C206" s="35" t="s">
        <v>73</v>
      </c>
      <c r="D206" s="94">
        <v>17</v>
      </c>
      <c r="E206" s="37">
        <v>45</v>
      </c>
      <c r="F206" s="36">
        <f t="shared" si="9"/>
        <v>765</v>
      </c>
    </row>
    <row r="207" spans="1:6" ht="15" customHeight="1" x14ac:dyDescent="0.25">
      <c r="A207" s="110" t="s">
        <v>359</v>
      </c>
      <c r="B207" s="3" t="s">
        <v>360</v>
      </c>
      <c r="C207" s="35" t="s">
        <v>73</v>
      </c>
      <c r="D207" s="94">
        <v>28</v>
      </c>
      <c r="E207" s="37">
        <v>60</v>
      </c>
      <c r="F207" s="36">
        <f t="shared" si="9"/>
        <v>1680</v>
      </c>
    </row>
    <row r="208" spans="1:6" ht="15" customHeight="1" x14ac:dyDescent="0.25">
      <c r="A208" s="110" t="s">
        <v>361</v>
      </c>
      <c r="B208" s="3" t="s">
        <v>362</v>
      </c>
      <c r="C208" s="35" t="s">
        <v>73</v>
      </c>
      <c r="D208" s="94">
        <v>84</v>
      </c>
      <c r="E208" s="37">
        <v>80</v>
      </c>
      <c r="F208" s="36">
        <f t="shared" si="9"/>
        <v>6720</v>
      </c>
    </row>
    <row r="209" spans="1:6" ht="15" customHeight="1" x14ac:dyDescent="0.25">
      <c r="A209" s="65" t="s">
        <v>363</v>
      </c>
      <c r="B209" s="1" t="s">
        <v>364</v>
      </c>
      <c r="C209" s="35" t="s">
        <v>34</v>
      </c>
      <c r="D209" s="94">
        <v>6</v>
      </c>
      <c r="E209" s="37">
        <v>600</v>
      </c>
      <c r="F209" s="36">
        <f t="shared" si="9"/>
        <v>3600</v>
      </c>
    </row>
    <row r="210" spans="1:6" ht="15" customHeight="1" x14ac:dyDescent="0.25">
      <c r="A210" s="65" t="s">
        <v>365</v>
      </c>
      <c r="B210" s="1" t="s">
        <v>366</v>
      </c>
      <c r="C210" s="35"/>
      <c r="D210" s="94"/>
      <c r="E210" s="37"/>
      <c r="F210" s="36"/>
    </row>
    <row r="211" spans="1:6" x14ac:dyDescent="0.25">
      <c r="A211" s="110" t="s">
        <v>367</v>
      </c>
      <c r="B211" s="3" t="s">
        <v>368</v>
      </c>
      <c r="C211" s="35" t="s">
        <v>34</v>
      </c>
      <c r="D211" s="94">
        <v>2</v>
      </c>
      <c r="E211" s="37">
        <v>300</v>
      </c>
      <c r="F211" s="36">
        <f t="shared" si="9"/>
        <v>600</v>
      </c>
    </row>
    <row r="212" spans="1:6" ht="15.75" thickBot="1" x14ac:dyDescent="0.3">
      <c r="A212" s="110" t="s">
        <v>369</v>
      </c>
      <c r="B212" s="3" t="s">
        <v>370</v>
      </c>
      <c r="C212" s="35" t="s">
        <v>34</v>
      </c>
      <c r="D212" s="95">
        <v>2</v>
      </c>
      <c r="E212" s="37">
        <v>460</v>
      </c>
      <c r="F212" s="36">
        <f t="shared" si="9"/>
        <v>920</v>
      </c>
    </row>
    <row r="213" spans="1:6" ht="15.75" customHeight="1" thickBot="1" x14ac:dyDescent="0.3">
      <c r="A213" s="7"/>
      <c r="B213" s="120" t="s">
        <v>371</v>
      </c>
      <c r="C213" s="120"/>
      <c r="D213" s="120"/>
      <c r="E213" s="120"/>
      <c r="F213" s="49">
        <f>SUM(F169:F212)</f>
        <v>131645</v>
      </c>
    </row>
    <row r="214" spans="1:6" ht="15.75" customHeight="1" x14ac:dyDescent="0.25">
      <c r="A214" s="12"/>
      <c r="B214" s="13" t="s">
        <v>372</v>
      </c>
      <c r="C214" s="28"/>
      <c r="D214" s="93"/>
      <c r="E214" s="29"/>
      <c r="F214" s="51"/>
    </row>
    <row r="215" spans="1:6" ht="15.75" customHeight="1" x14ac:dyDescent="0.25">
      <c r="A215" s="14" t="s">
        <v>373</v>
      </c>
      <c r="B215" s="55" t="s">
        <v>374</v>
      </c>
      <c r="C215" s="30"/>
      <c r="D215" s="94"/>
      <c r="E215" s="31"/>
      <c r="F215" s="52"/>
    </row>
    <row r="216" spans="1:6" ht="15" customHeight="1" x14ac:dyDescent="0.25">
      <c r="A216" s="111" t="s">
        <v>375</v>
      </c>
      <c r="B216" s="3" t="s">
        <v>376</v>
      </c>
      <c r="C216" s="35" t="s">
        <v>34</v>
      </c>
      <c r="D216" s="94">
        <v>4</v>
      </c>
      <c r="E216" s="37">
        <v>450</v>
      </c>
      <c r="F216" s="36">
        <f t="shared" ref="F216:F218" si="10">+E216*D216</f>
        <v>1800</v>
      </c>
    </row>
    <row r="217" spans="1:6" ht="15" customHeight="1" x14ac:dyDescent="0.25">
      <c r="A217" s="111" t="s">
        <v>377</v>
      </c>
      <c r="B217" s="3" t="s">
        <v>378</v>
      </c>
      <c r="C217" s="35" t="s">
        <v>34</v>
      </c>
      <c r="D217" s="94">
        <v>2</v>
      </c>
      <c r="E217" s="37">
        <v>950</v>
      </c>
      <c r="F217" s="36">
        <f t="shared" si="10"/>
        <v>1900</v>
      </c>
    </row>
    <row r="218" spans="1:6" ht="15.75" customHeight="1" thickBot="1" x14ac:dyDescent="0.3">
      <c r="A218" s="111" t="s">
        <v>379</v>
      </c>
      <c r="B218" s="3" t="s">
        <v>380</v>
      </c>
      <c r="C218" s="35" t="s">
        <v>34</v>
      </c>
      <c r="D218" s="95">
        <v>4</v>
      </c>
      <c r="E218" s="37">
        <v>600</v>
      </c>
      <c r="F218" s="36">
        <f t="shared" si="10"/>
        <v>2400</v>
      </c>
    </row>
    <row r="219" spans="1:6" ht="15.75" customHeight="1" thickBot="1" x14ac:dyDescent="0.3">
      <c r="A219" s="8"/>
      <c r="B219" s="124" t="s">
        <v>381</v>
      </c>
      <c r="C219" s="120"/>
      <c r="D219" s="120"/>
      <c r="E219" s="120"/>
      <c r="F219" s="49">
        <f>SUM(F215:F218)</f>
        <v>6100</v>
      </c>
    </row>
    <row r="220" spans="1:6" ht="32.450000000000003" customHeight="1" thickBot="1" x14ac:dyDescent="0.3">
      <c r="A220" s="113" t="s">
        <v>382</v>
      </c>
      <c r="B220" s="113"/>
      <c r="C220" s="113"/>
      <c r="D220" s="113"/>
      <c r="E220" s="113"/>
      <c r="F220" s="44">
        <f>+F219+F213</f>
        <v>137745</v>
      </c>
    </row>
    <row r="221" spans="1:6" ht="32.450000000000003" customHeight="1" thickBot="1" x14ac:dyDescent="0.3">
      <c r="A221" s="117" t="s">
        <v>383</v>
      </c>
      <c r="B221" s="118" t="s">
        <v>384</v>
      </c>
      <c r="C221" s="118"/>
      <c r="D221" s="118"/>
      <c r="E221" s="118"/>
      <c r="F221" s="119"/>
    </row>
    <row r="222" spans="1:6" ht="15" customHeight="1" x14ac:dyDescent="0.25">
      <c r="A222" s="65"/>
      <c r="B222" s="34" t="s">
        <v>385</v>
      </c>
      <c r="C222" s="27"/>
      <c r="D222" s="93"/>
      <c r="E222" s="105"/>
      <c r="F222" s="88"/>
    </row>
    <row r="223" spans="1:6" ht="15" customHeight="1" x14ac:dyDescent="0.25">
      <c r="A223" s="65" t="s">
        <v>386</v>
      </c>
      <c r="B223" s="14" t="s">
        <v>387</v>
      </c>
      <c r="C223" s="27" t="s">
        <v>34</v>
      </c>
      <c r="D223" s="94">
        <v>3</v>
      </c>
      <c r="E223" s="105">
        <v>4000</v>
      </c>
      <c r="F223" s="36">
        <f t="shared" ref="F223:F224" si="11">+E223*D223</f>
        <v>12000</v>
      </c>
    </row>
    <row r="224" spans="1:6" ht="15" customHeight="1" thickBot="1" x14ac:dyDescent="0.3">
      <c r="A224" s="65" t="s">
        <v>388</v>
      </c>
      <c r="B224" s="14" t="s">
        <v>467</v>
      </c>
      <c r="C224" s="27" t="s">
        <v>171</v>
      </c>
      <c r="D224" s="95">
        <v>1</v>
      </c>
      <c r="E224" s="105">
        <v>5000</v>
      </c>
      <c r="F224" s="36">
        <f t="shared" si="11"/>
        <v>5000</v>
      </c>
    </row>
    <row r="225" spans="1:6" ht="15.75" customHeight="1" thickBot="1" x14ac:dyDescent="0.3">
      <c r="A225" s="124" t="s">
        <v>389</v>
      </c>
      <c r="B225" s="120"/>
      <c r="C225" s="120"/>
      <c r="D225" s="120"/>
      <c r="E225" s="120"/>
      <c r="F225" s="49">
        <f>SUM(F222:F224)</f>
        <v>17000</v>
      </c>
    </row>
    <row r="226" spans="1:6" ht="15" customHeight="1" x14ac:dyDescent="0.25">
      <c r="A226" s="65"/>
      <c r="B226" s="34" t="s">
        <v>390</v>
      </c>
      <c r="C226" s="27"/>
      <c r="D226" s="93"/>
      <c r="E226" s="105"/>
      <c r="F226" s="88"/>
    </row>
    <row r="227" spans="1:6" ht="15" customHeight="1" x14ac:dyDescent="0.25">
      <c r="A227" s="65" t="s">
        <v>391</v>
      </c>
      <c r="B227" s="14" t="s">
        <v>392</v>
      </c>
      <c r="C227" s="27" t="s">
        <v>54</v>
      </c>
      <c r="D227" s="94">
        <v>75</v>
      </c>
      <c r="E227" s="105">
        <v>45</v>
      </c>
      <c r="F227" s="36">
        <f t="shared" ref="F227:F243" si="12">+E227*D227</f>
        <v>3375</v>
      </c>
    </row>
    <row r="228" spans="1:6" ht="15" customHeight="1" x14ac:dyDescent="0.25">
      <c r="A228" s="65"/>
      <c r="B228" s="34" t="s">
        <v>393</v>
      </c>
      <c r="C228" s="27"/>
      <c r="D228" s="94"/>
      <c r="E228" s="105"/>
      <c r="F228" s="36">
        <f t="shared" si="12"/>
        <v>0</v>
      </c>
    </row>
    <row r="229" spans="1:6" ht="15" customHeight="1" x14ac:dyDescent="0.25">
      <c r="A229" s="65" t="s">
        <v>394</v>
      </c>
      <c r="B229" s="14" t="s">
        <v>395</v>
      </c>
      <c r="C229" s="27" t="s">
        <v>54</v>
      </c>
      <c r="D229" s="94">
        <v>20</v>
      </c>
      <c r="E229" s="105">
        <v>180</v>
      </c>
      <c r="F229" s="36">
        <f t="shared" si="12"/>
        <v>3600</v>
      </c>
    </row>
    <row r="230" spans="1:6" ht="15" customHeight="1" x14ac:dyDescent="0.25">
      <c r="A230" s="65" t="s">
        <v>396</v>
      </c>
      <c r="B230" s="14" t="s">
        <v>397</v>
      </c>
      <c r="C230" s="27" t="s">
        <v>54</v>
      </c>
      <c r="D230" s="94">
        <v>50</v>
      </c>
      <c r="E230" s="105">
        <v>40</v>
      </c>
      <c r="F230" s="36">
        <f t="shared" si="12"/>
        <v>2000</v>
      </c>
    </row>
    <row r="231" spans="1:6" ht="15" customHeight="1" x14ac:dyDescent="0.25">
      <c r="A231" s="65" t="s">
        <v>398</v>
      </c>
      <c r="B231" s="14" t="s">
        <v>399</v>
      </c>
      <c r="C231" s="27" t="s">
        <v>54</v>
      </c>
      <c r="D231" s="94">
        <v>5</v>
      </c>
      <c r="E231" s="105">
        <v>110</v>
      </c>
      <c r="F231" s="36">
        <f t="shared" si="12"/>
        <v>550</v>
      </c>
    </row>
    <row r="232" spans="1:6" ht="15" customHeight="1" x14ac:dyDescent="0.25">
      <c r="A232" s="65"/>
      <c r="B232" s="34" t="s">
        <v>400</v>
      </c>
      <c r="C232" s="27"/>
      <c r="D232" s="94"/>
      <c r="E232" s="105"/>
      <c r="F232" s="36">
        <f t="shared" si="12"/>
        <v>0</v>
      </c>
    </row>
    <row r="233" spans="1:6" ht="15" customHeight="1" x14ac:dyDescent="0.25">
      <c r="A233" s="65" t="s">
        <v>401</v>
      </c>
      <c r="B233" s="14" t="s">
        <v>402</v>
      </c>
      <c r="C233" s="27" t="s">
        <v>73</v>
      </c>
      <c r="D233" s="94">
        <v>60</v>
      </c>
      <c r="E233" s="105">
        <v>250</v>
      </c>
      <c r="F233" s="36">
        <f t="shared" si="12"/>
        <v>15000</v>
      </c>
    </row>
    <row r="234" spans="1:6" ht="15" customHeight="1" x14ac:dyDescent="0.25">
      <c r="A234" s="65"/>
      <c r="B234" s="34" t="s">
        <v>403</v>
      </c>
      <c r="C234" s="27"/>
      <c r="D234" s="94"/>
      <c r="E234" s="105"/>
      <c r="F234" s="36">
        <f t="shared" si="12"/>
        <v>0</v>
      </c>
    </row>
    <row r="235" spans="1:6" ht="15" customHeight="1" x14ac:dyDescent="0.25">
      <c r="A235" s="65"/>
      <c r="B235" s="34" t="s">
        <v>404</v>
      </c>
      <c r="C235" s="27"/>
      <c r="D235" s="94"/>
      <c r="E235" s="105"/>
      <c r="F235" s="36">
        <f t="shared" si="12"/>
        <v>0</v>
      </c>
    </row>
    <row r="236" spans="1:6" ht="15" customHeight="1" x14ac:dyDescent="0.25">
      <c r="A236" s="65" t="s">
        <v>405</v>
      </c>
      <c r="B236" s="14" t="s">
        <v>406</v>
      </c>
      <c r="C236" s="27" t="s">
        <v>34</v>
      </c>
      <c r="D236" s="94">
        <v>5</v>
      </c>
      <c r="E236" s="105">
        <v>9500</v>
      </c>
      <c r="F236" s="36">
        <f t="shared" si="12"/>
        <v>47500</v>
      </c>
    </row>
    <row r="237" spans="1:6" ht="15" customHeight="1" x14ac:dyDescent="0.25">
      <c r="A237" s="65"/>
      <c r="B237" s="34" t="s">
        <v>385</v>
      </c>
      <c r="C237" s="27"/>
      <c r="D237" s="94"/>
      <c r="E237" s="105"/>
      <c r="F237" s="36">
        <f t="shared" si="12"/>
        <v>0</v>
      </c>
    </row>
    <row r="238" spans="1:6" ht="15" customHeight="1" x14ac:dyDescent="0.25">
      <c r="A238" s="65" t="s">
        <v>407</v>
      </c>
      <c r="B238" s="14" t="s">
        <v>408</v>
      </c>
      <c r="C238" s="27" t="s">
        <v>34</v>
      </c>
      <c r="D238" s="94">
        <v>2</v>
      </c>
      <c r="E238" s="105">
        <v>5000</v>
      </c>
      <c r="F238" s="36">
        <f t="shared" si="12"/>
        <v>10000</v>
      </c>
    </row>
    <row r="239" spans="1:6" ht="15" customHeight="1" x14ac:dyDescent="0.25">
      <c r="A239" s="65" t="s">
        <v>409</v>
      </c>
      <c r="B239" s="14" t="s">
        <v>410</v>
      </c>
      <c r="C239" s="27" t="s">
        <v>34</v>
      </c>
      <c r="D239" s="94">
        <v>2</v>
      </c>
      <c r="E239" s="105">
        <v>3500</v>
      </c>
      <c r="F239" s="36">
        <f t="shared" si="12"/>
        <v>7000</v>
      </c>
    </row>
    <row r="240" spans="1:6" ht="15" customHeight="1" x14ac:dyDescent="0.25">
      <c r="A240" s="65" t="s">
        <v>411</v>
      </c>
      <c r="B240" s="14" t="s">
        <v>412</v>
      </c>
      <c r="C240" s="27" t="s">
        <v>158</v>
      </c>
      <c r="D240" s="94">
        <v>1</v>
      </c>
      <c r="E240" s="105">
        <v>70000</v>
      </c>
      <c r="F240" s="36">
        <f t="shared" si="12"/>
        <v>70000</v>
      </c>
    </row>
    <row r="241" spans="1:7" ht="15" customHeight="1" x14ac:dyDescent="0.25">
      <c r="A241" s="65"/>
      <c r="B241" s="34" t="s">
        <v>413</v>
      </c>
      <c r="C241" s="27"/>
      <c r="D241" s="94"/>
      <c r="E241" s="105"/>
      <c r="F241" s="36">
        <f t="shared" si="12"/>
        <v>0</v>
      </c>
    </row>
    <row r="242" spans="1:7" ht="15" customHeight="1" x14ac:dyDescent="0.25">
      <c r="A242" s="65" t="s">
        <v>414</v>
      </c>
      <c r="B242" s="14" t="s">
        <v>415</v>
      </c>
      <c r="C242" s="27" t="s">
        <v>34</v>
      </c>
      <c r="D242" s="94">
        <v>5</v>
      </c>
      <c r="E242" s="105">
        <v>4800</v>
      </c>
      <c r="F242" s="36">
        <f t="shared" si="12"/>
        <v>24000</v>
      </c>
    </row>
    <row r="243" spans="1:7" ht="15" customHeight="1" thickBot="1" x14ac:dyDescent="0.3">
      <c r="A243" s="65" t="s">
        <v>416</v>
      </c>
      <c r="B243" s="14" t="s">
        <v>466</v>
      </c>
      <c r="C243" s="27" t="s">
        <v>171</v>
      </c>
      <c r="D243" s="95">
        <v>1</v>
      </c>
      <c r="E243" s="105">
        <v>35000</v>
      </c>
      <c r="F243" s="36">
        <f t="shared" si="12"/>
        <v>35000</v>
      </c>
    </row>
    <row r="244" spans="1:7" ht="15.75" customHeight="1" thickBot="1" x14ac:dyDescent="0.3">
      <c r="A244" s="124" t="s">
        <v>417</v>
      </c>
      <c r="B244" s="120"/>
      <c r="C244" s="120"/>
      <c r="D244" s="120"/>
      <c r="E244" s="120"/>
      <c r="F244" s="49">
        <f>SUM(F226:F243)</f>
        <v>218025</v>
      </c>
    </row>
    <row r="245" spans="1:7" ht="32.450000000000003" customHeight="1" thickBot="1" x14ac:dyDescent="0.3">
      <c r="A245" s="113" t="s">
        <v>418</v>
      </c>
      <c r="B245" s="113"/>
      <c r="C245" s="113"/>
      <c r="D245" s="113"/>
      <c r="E245" s="113"/>
      <c r="F245" s="44">
        <f>F244+F225</f>
        <v>235025</v>
      </c>
    </row>
    <row r="246" spans="1:7" ht="32.450000000000003" customHeight="1" thickBot="1" x14ac:dyDescent="0.3">
      <c r="A246" s="125" t="s">
        <v>481</v>
      </c>
      <c r="B246" s="126" t="s">
        <v>384</v>
      </c>
      <c r="C246" s="126"/>
      <c r="D246" s="126"/>
      <c r="E246" s="126"/>
      <c r="F246" s="127"/>
    </row>
    <row r="247" spans="1:7" ht="15" customHeight="1" x14ac:dyDescent="0.25">
      <c r="A247" s="65"/>
      <c r="B247" s="34" t="s">
        <v>420</v>
      </c>
      <c r="C247" s="27"/>
      <c r="D247" s="93"/>
      <c r="E247" s="105"/>
      <c r="F247" s="36"/>
    </row>
    <row r="248" spans="1:7" ht="24" customHeight="1" x14ac:dyDescent="0.25">
      <c r="A248" s="63" t="s">
        <v>421</v>
      </c>
      <c r="B248" s="86" t="s">
        <v>422</v>
      </c>
      <c r="C248" s="62"/>
      <c r="D248" s="94"/>
      <c r="E248" s="24"/>
      <c r="F248" s="43"/>
    </row>
    <row r="249" spans="1:7" x14ac:dyDescent="0.25">
      <c r="A249" s="112" t="s">
        <v>423</v>
      </c>
      <c r="B249" s="89" t="s">
        <v>424</v>
      </c>
      <c r="C249" s="62" t="s">
        <v>73</v>
      </c>
      <c r="D249" s="94">
        <v>126</v>
      </c>
      <c r="E249" s="24">
        <v>60</v>
      </c>
      <c r="F249" s="43">
        <f>D249*E249</f>
        <v>7560</v>
      </c>
    </row>
    <row r="250" spans="1:7" x14ac:dyDescent="0.25">
      <c r="A250" s="112" t="s">
        <v>425</v>
      </c>
      <c r="B250" s="89" t="s">
        <v>426</v>
      </c>
      <c r="C250" s="62" t="s">
        <v>73</v>
      </c>
      <c r="D250" s="94">
        <v>126</v>
      </c>
      <c r="E250" s="24">
        <v>40</v>
      </c>
      <c r="F250" s="43">
        <f>D250*E250</f>
        <v>5040</v>
      </c>
    </row>
    <row r="251" spans="1:7" ht="15.75" thickBot="1" x14ac:dyDescent="0.3">
      <c r="A251" s="112" t="s">
        <v>427</v>
      </c>
      <c r="B251" s="89" t="s">
        <v>428</v>
      </c>
      <c r="C251" s="62" t="s">
        <v>34</v>
      </c>
      <c r="D251" s="94">
        <v>10</v>
      </c>
      <c r="E251" s="25">
        <v>1600</v>
      </c>
      <c r="F251" s="43">
        <f>D251*E251</f>
        <v>16000</v>
      </c>
    </row>
    <row r="252" spans="1:7" ht="15" customHeight="1" thickBot="1" x14ac:dyDescent="0.3">
      <c r="A252" s="124" t="s">
        <v>430</v>
      </c>
      <c r="B252" s="120"/>
      <c r="C252" s="120"/>
      <c r="D252" s="120"/>
      <c r="E252" s="120"/>
      <c r="F252" s="49">
        <f>SUM(F247:F251)</f>
        <v>28600</v>
      </c>
    </row>
    <row r="253" spans="1:7" ht="15" customHeight="1" x14ac:dyDescent="0.25">
      <c r="A253" s="65"/>
      <c r="B253" s="57" t="s">
        <v>431</v>
      </c>
      <c r="C253" s="66"/>
      <c r="D253" s="93"/>
      <c r="E253" s="58"/>
      <c r="F253" s="36">
        <f t="shared" ref="F253:F268" si="13">+E253*D253</f>
        <v>0</v>
      </c>
      <c r="G253" s="90"/>
    </row>
    <row r="254" spans="1:7" ht="15" customHeight="1" x14ac:dyDescent="0.25">
      <c r="A254" s="65"/>
      <c r="B254" s="92" t="s">
        <v>432</v>
      </c>
      <c r="C254" s="102"/>
      <c r="D254" s="94">
        <v>0</v>
      </c>
      <c r="E254" s="59"/>
      <c r="F254" s="36">
        <f t="shared" si="13"/>
        <v>0</v>
      </c>
      <c r="G254" s="90"/>
    </row>
    <row r="255" spans="1:7" ht="15" customHeight="1" x14ac:dyDescent="0.25">
      <c r="A255" s="65" t="s">
        <v>429</v>
      </c>
      <c r="B255" s="86" t="s">
        <v>434</v>
      </c>
      <c r="C255" s="102" t="s">
        <v>54</v>
      </c>
      <c r="D255" s="94">
        <v>125</v>
      </c>
      <c r="E255" s="59">
        <v>30</v>
      </c>
      <c r="F255" s="36">
        <f t="shared" si="13"/>
        <v>3750</v>
      </c>
      <c r="G255" s="90"/>
    </row>
    <row r="256" spans="1:7" ht="15" customHeight="1" x14ac:dyDescent="0.25">
      <c r="A256" s="65" t="s">
        <v>433</v>
      </c>
      <c r="B256" s="86" t="s">
        <v>436</v>
      </c>
      <c r="C256" s="102" t="s">
        <v>54</v>
      </c>
      <c r="D256" s="94">
        <v>6</v>
      </c>
      <c r="E256" s="59">
        <v>150</v>
      </c>
      <c r="F256" s="36">
        <f t="shared" si="13"/>
        <v>900</v>
      </c>
      <c r="G256" s="90"/>
    </row>
    <row r="257" spans="1:7" ht="15" customHeight="1" x14ac:dyDescent="0.25">
      <c r="A257" s="65"/>
      <c r="B257" s="60" t="s">
        <v>437</v>
      </c>
      <c r="C257" s="102"/>
      <c r="D257" s="94">
        <v>0</v>
      </c>
      <c r="E257" s="59"/>
      <c r="F257" s="36">
        <f t="shared" si="13"/>
        <v>0</v>
      </c>
      <c r="G257" s="90"/>
    </row>
    <row r="258" spans="1:7" ht="15" customHeight="1" x14ac:dyDescent="0.25">
      <c r="A258" s="65" t="s">
        <v>435</v>
      </c>
      <c r="B258" s="86" t="s">
        <v>439</v>
      </c>
      <c r="C258" s="102" t="s">
        <v>54</v>
      </c>
      <c r="D258" s="94">
        <v>37</v>
      </c>
      <c r="E258" s="59">
        <v>150</v>
      </c>
      <c r="F258" s="36">
        <f t="shared" si="13"/>
        <v>5550</v>
      </c>
      <c r="G258" s="90"/>
    </row>
    <row r="259" spans="1:7" ht="15" customHeight="1" x14ac:dyDescent="0.25">
      <c r="A259" s="65" t="s">
        <v>438</v>
      </c>
      <c r="B259" s="86" t="s">
        <v>441</v>
      </c>
      <c r="C259" s="102" t="s">
        <v>54</v>
      </c>
      <c r="D259" s="94">
        <v>87</v>
      </c>
      <c r="E259" s="59">
        <v>30</v>
      </c>
      <c r="F259" s="36">
        <f t="shared" si="13"/>
        <v>2610</v>
      </c>
      <c r="G259" s="90"/>
    </row>
    <row r="260" spans="1:7" ht="15" customHeight="1" x14ac:dyDescent="0.25">
      <c r="A260" s="65"/>
      <c r="B260" s="92" t="s">
        <v>442</v>
      </c>
      <c r="C260" s="102"/>
      <c r="D260" s="94">
        <v>0</v>
      </c>
      <c r="E260" s="59"/>
      <c r="F260" s="36">
        <f t="shared" si="13"/>
        <v>0</v>
      </c>
      <c r="G260" s="90"/>
    </row>
    <row r="261" spans="1:7" ht="15" customHeight="1" x14ac:dyDescent="0.25">
      <c r="A261" s="65" t="s">
        <v>440</v>
      </c>
      <c r="B261" s="86" t="s">
        <v>444</v>
      </c>
      <c r="C261" s="102" t="s">
        <v>73</v>
      </c>
      <c r="D261" s="94">
        <v>140</v>
      </c>
      <c r="E261" s="59">
        <v>320</v>
      </c>
      <c r="F261" s="36">
        <f t="shared" si="13"/>
        <v>44800</v>
      </c>
      <c r="G261" s="90"/>
    </row>
    <row r="262" spans="1:7" ht="15" customHeight="1" x14ac:dyDescent="0.25">
      <c r="A262" s="65" t="s">
        <v>443</v>
      </c>
      <c r="B262" s="86" t="s">
        <v>446</v>
      </c>
      <c r="C262" s="102" t="s">
        <v>73</v>
      </c>
      <c r="D262" s="94">
        <v>20</v>
      </c>
      <c r="E262" s="59">
        <v>550</v>
      </c>
      <c r="F262" s="36">
        <f t="shared" si="13"/>
        <v>11000</v>
      </c>
      <c r="G262" s="90"/>
    </row>
    <row r="263" spans="1:7" ht="15" customHeight="1" x14ac:dyDescent="0.25">
      <c r="A263" s="65"/>
      <c r="B263" s="92" t="s">
        <v>447</v>
      </c>
      <c r="C263" s="102"/>
      <c r="D263" s="94">
        <v>0</v>
      </c>
      <c r="E263" s="59"/>
      <c r="F263" s="36">
        <f t="shared" si="13"/>
        <v>0</v>
      </c>
      <c r="G263" s="90"/>
    </row>
    <row r="264" spans="1:7" ht="15" customHeight="1" x14ac:dyDescent="0.25">
      <c r="A264" s="65" t="s">
        <v>445</v>
      </c>
      <c r="B264" s="86" t="s">
        <v>482</v>
      </c>
      <c r="C264" s="102" t="s">
        <v>34</v>
      </c>
      <c r="D264" s="94">
        <v>2</v>
      </c>
      <c r="E264" s="59">
        <v>2000</v>
      </c>
      <c r="F264" s="36">
        <f t="shared" si="13"/>
        <v>4000</v>
      </c>
      <c r="G264" s="90"/>
    </row>
    <row r="265" spans="1:7" ht="15" customHeight="1" x14ac:dyDescent="0.25">
      <c r="A265" s="65" t="s">
        <v>448</v>
      </c>
      <c r="B265" s="86" t="s">
        <v>450</v>
      </c>
      <c r="C265" s="102" t="s">
        <v>34</v>
      </c>
      <c r="D265" s="94">
        <v>1</v>
      </c>
      <c r="E265" s="59">
        <v>500</v>
      </c>
      <c r="F265" s="36">
        <f t="shared" si="13"/>
        <v>500</v>
      </c>
      <c r="G265" s="90"/>
    </row>
    <row r="266" spans="1:7" ht="15" customHeight="1" x14ac:dyDescent="0.25">
      <c r="A266" s="65" t="s">
        <v>449</v>
      </c>
      <c r="B266" s="86" t="s">
        <v>452</v>
      </c>
      <c r="C266" s="102" t="s">
        <v>34</v>
      </c>
      <c r="D266" s="94">
        <v>1</v>
      </c>
      <c r="E266" s="59">
        <v>2200</v>
      </c>
      <c r="F266" s="36">
        <f t="shared" si="13"/>
        <v>2200</v>
      </c>
      <c r="G266" s="90"/>
    </row>
    <row r="267" spans="1:7" ht="15" customHeight="1" x14ac:dyDescent="0.25">
      <c r="A267" s="65" t="s">
        <v>451</v>
      </c>
      <c r="B267" s="86" t="s">
        <v>468</v>
      </c>
      <c r="C267" s="102" t="s">
        <v>34</v>
      </c>
      <c r="D267" s="94">
        <v>1</v>
      </c>
      <c r="E267" s="59">
        <v>800</v>
      </c>
      <c r="F267" s="36">
        <f t="shared" si="13"/>
        <v>800</v>
      </c>
      <c r="G267" s="90"/>
    </row>
    <row r="268" spans="1:7" ht="15" customHeight="1" x14ac:dyDescent="0.25">
      <c r="A268" s="65" t="s">
        <v>453</v>
      </c>
      <c r="B268" s="86" t="s">
        <v>455</v>
      </c>
      <c r="C268" s="102" t="s">
        <v>34</v>
      </c>
      <c r="D268" s="94">
        <v>6</v>
      </c>
      <c r="E268" s="59">
        <v>1500</v>
      </c>
      <c r="F268" s="36">
        <f t="shared" si="13"/>
        <v>9000</v>
      </c>
      <c r="G268" s="90"/>
    </row>
    <row r="269" spans="1:7" ht="15" customHeight="1" x14ac:dyDescent="0.25">
      <c r="A269" s="65"/>
      <c r="B269" s="92" t="s">
        <v>456</v>
      </c>
      <c r="C269" s="102"/>
      <c r="D269" s="94">
        <v>0</v>
      </c>
      <c r="E269" s="59"/>
      <c r="F269" s="36">
        <f t="shared" ref="F269:F271" si="14">+E269*D269</f>
        <v>0</v>
      </c>
      <c r="G269" s="90"/>
    </row>
    <row r="270" spans="1:7" ht="15" customHeight="1" x14ac:dyDescent="0.25">
      <c r="A270" s="65" t="s">
        <v>454</v>
      </c>
      <c r="B270" s="86" t="s">
        <v>458</v>
      </c>
      <c r="C270" s="102" t="s">
        <v>73</v>
      </c>
      <c r="D270" s="94">
        <v>1</v>
      </c>
      <c r="E270" s="59">
        <v>2950</v>
      </c>
      <c r="F270" s="36">
        <f t="shared" si="14"/>
        <v>2950</v>
      </c>
      <c r="G270" s="90"/>
    </row>
    <row r="271" spans="1:7" ht="15" customHeight="1" thickBot="1" x14ac:dyDescent="0.3">
      <c r="A271" s="65" t="s">
        <v>457</v>
      </c>
      <c r="B271" s="86" t="s">
        <v>459</v>
      </c>
      <c r="C271" s="102" t="s">
        <v>73</v>
      </c>
      <c r="D271" s="94">
        <v>160</v>
      </c>
      <c r="E271" s="59">
        <v>15</v>
      </c>
      <c r="F271" s="36">
        <f t="shared" si="14"/>
        <v>2400</v>
      </c>
      <c r="G271" s="90"/>
    </row>
    <row r="272" spans="1:7" ht="15" customHeight="1" thickBot="1" x14ac:dyDescent="0.3">
      <c r="A272" s="124" t="s">
        <v>460</v>
      </c>
      <c r="B272" s="120"/>
      <c r="C272" s="120"/>
      <c r="D272" s="120"/>
      <c r="E272" s="120"/>
      <c r="F272" s="56">
        <f>SUM(F253:F271)</f>
        <v>90460</v>
      </c>
      <c r="G272" s="90"/>
    </row>
    <row r="273" spans="1:6" ht="32.450000000000003" customHeight="1" thickBot="1" x14ac:dyDescent="0.3">
      <c r="A273" s="113" t="s">
        <v>461</v>
      </c>
      <c r="B273" s="113"/>
      <c r="C273" s="113"/>
      <c r="D273" s="113"/>
      <c r="E273" s="113"/>
      <c r="F273" s="44">
        <f>F272+F252</f>
        <v>119060</v>
      </c>
    </row>
    <row r="274" spans="1:6" ht="36.6" customHeight="1" thickBot="1" x14ac:dyDescent="0.3">
      <c r="A274" s="114" t="s">
        <v>419</v>
      </c>
      <c r="B274" s="115"/>
      <c r="C274" s="115"/>
      <c r="D274" s="115"/>
      <c r="E274" s="116"/>
      <c r="F274" s="53">
        <f>F273+F245+F220+F167+F130+F124+F111+F74+F68+F61+F35</f>
        <v>3394103.2</v>
      </c>
    </row>
    <row r="275" spans="1:6" ht="32.450000000000003" customHeight="1" x14ac:dyDescent="0.25">
      <c r="A275" s="68"/>
      <c r="C275" s="68"/>
      <c r="F275" s="68"/>
    </row>
    <row r="278" spans="1:6" ht="54.95" hidden="1" customHeight="1" x14ac:dyDescent="0.25">
      <c r="A278" s="114" t="s">
        <v>6</v>
      </c>
      <c r="B278" s="115"/>
      <c r="C278" s="115"/>
      <c r="D278" s="115"/>
      <c r="E278" s="115"/>
      <c r="F278" s="151"/>
    </row>
    <row r="279" spans="1:6" ht="14.45" hidden="1" customHeight="1" x14ac:dyDescent="0.25">
      <c r="A279" s="145" t="s">
        <v>7</v>
      </c>
      <c r="B279" s="146"/>
      <c r="C279" s="145" t="s">
        <v>8</v>
      </c>
      <c r="D279" s="146"/>
      <c r="E279" s="146"/>
      <c r="F279" s="149"/>
    </row>
    <row r="280" spans="1:6" ht="15" hidden="1" customHeight="1" x14ac:dyDescent="0.25">
      <c r="A280" s="147"/>
      <c r="B280" s="148"/>
      <c r="C280" s="147"/>
      <c r="D280" s="148"/>
      <c r="E280" s="148"/>
      <c r="F280" s="150"/>
    </row>
    <row r="281" spans="1:6" ht="21" hidden="1" customHeight="1" x14ac:dyDescent="0.25">
      <c r="A281" s="9" t="s">
        <v>9</v>
      </c>
      <c r="B281" s="4" t="s">
        <v>462</v>
      </c>
      <c r="C281" s="142">
        <f>F35</f>
        <v>105000</v>
      </c>
      <c r="D281" s="143"/>
      <c r="E281" s="143"/>
      <c r="F281" s="144"/>
    </row>
    <row r="282" spans="1:6" ht="21" hidden="1" customHeight="1" x14ac:dyDescent="0.25">
      <c r="A282" s="10" t="s">
        <v>11</v>
      </c>
      <c r="B282" s="5" t="s">
        <v>12</v>
      </c>
      <c r="C282" s="139">
        <f>F61</f>
        <v>1019255</v>
      </c>
      <c r="D282" s="140"/>
      <c r="E282" s="140"/>
      <c r="F282" s="141"/>
    </row>
    <row r="283" spans="1:6" ht="21" hidden="1" customHeight="1" x14ac:dyDescent="0.25">
      <c r="A283" s="10" t="s">
        <v>13</v>
      </c>
      <c r="B283" s="5" t="s">
        <v>16</v>
      </c>
      <c r="C283" s="133">
        <f>F74</f>
        <v>127075</v>
      </c>
      <c r="D283" s="134"/>
      <c r="E283" s="134"/>
      <c r="F283" s="135"/>
    </row>
    <row r="284" spans="1:6" ht="21" hidden="1" customHeight="1" x14ac:dyDescent="0.25">
      <c r="A284" s="10" t="s">
        <v>15</v>
      </c>
      <c r="B284" s="5" t="s">
        <v>18</v>
      </c>
      <c r="C284" s="133">
        <f>F111</f>
        <v>440644</v>
      </c>
      <c r="D284" s="134"/>
      <c r="E284" s="134"/>
      <c r="F284" s="135"/>
    </row>
    <row r="285" spans="1:6" ht="21" hidden="1" customHeight="1" x14ac:dyDescent="0.25">
      <c r="A285" s="10" t="s">
        <v>17</v>
      </c>
      <c r="B285" s="5" t="s">
        <v>20</v>
      </c>
      <c r="C285" s="133">
        <f>F124</f>
        <v>214850</v>
      </c>
      <c r="D285" s="134"/>
      <c r="E285" s="134"/>
      <c r="F285" s="135"/>
    </row>
    <row r="286" spans="1:6" ht="21" hidden="1" customHeight="1" x14ac:dyDescent="0.25">
      <c r="A286" s="10" t="s">
        <v>19</v>
      </c>
      <c r="B286" s="5" t="s">
        <v>22</v>
      </c>
      <c r="C286" s="133">
        <f>F130</f>
        <v>156582</v>
      </c>
      <c r="D286" s="134"/>
      <c r="E286" s="134"/>
      <c r="F286" s="135"/>
    </row>
    <row r="287" spans="1:6" ht="21" hidden="1" customHeight="1" x14ac:dyDescent="0.25">
      <c r="A287" s="10" t="s">
        <v>21</v>
      </c>
      <c r="B287" s="5" t="s">
        <v>24</v>
      </c>
      <c r="C287" s="133">
        <f>F167</f>
        <v>463740</v>
      </c>
      <c r="D287" s="134"/>
      <c r="E287" s="134"/>
      <c r="F287" s="135"/>
    </row>
    <row r="288" spans="1:6" ht="21.6" hidden="1" customHeight="1" x14ac:dyDescent="0.25">
      <c r="A288" s="11" t="s">
        <v>23</v>
      </c>
      <c r="B288" s="5" t="s">
        <v>26</v>
      </c>
      <c r="C288" s="133">
        <f>F220</f>
        <v>137745</v>
      </c>
      <c r="D288" s="134"/>
      <c r="E288" s="134"/>
      <c r="F288" s="135"/>
    </row>
    <row r="289" spans="1:6" ht="21.6" hidden="1" customHeight="1" x14ac:dyDescent="0.25">
      <c r="A289" s="11" t="s">
        <v>25</v>
      </c>
      <c r="B289" s="6" t="s">
        <v>463</v>
      </c>
      <c r="C289" s="136">
        <v>0</v>
      </c>
      <c r="D289" s="137"/>
      <c r="E289" s="137"/>
      <c r="F289" s="138"/>
    </row>
    <row r="290" spans="1:6" ht="21.6" hidden="1" customHeight="1" x14ac:dyDescent="0.25">
      <c r="A290" s="128" t="s">
        <v>464</v>
      </c>
      <c r="B290" s="129"/>
      <c r="C290" s="130">
        <f>SUM(C281:F289)</f>
        <v>2664891</v>
      </c>
      <c r="D290" s="131"/>
      <c r="E290" s="131"/>
      <c r="F290" s="132"/>
    </row>
  </sheetData>
  <mergeCells count="69">
    <mergeCell ref="A62:F62"/>
    <mergeCell ref="A68:E68"/>
    <mergeCell ref="A1:F1"/>
    <mergeCell ref="A9:F9"/>
    <mergeCell ref="A28:A29"/>
    <mergeCell ref="B28:B29"/>
    <mergeCell ref="C28:C29"/>
    <mergeCell ref="E28:E29"/>
    <mergeCell ref="F28:F29"/>
    <mergeCell ref="D28:D29"/>
    <mergeCell ref="A25:B25"/>
    <mergeCell ref="C24:F24"/>
    <mergeCell ref="C25:F25"/>
    <mergeCell ref="C12:F13"/>
    <mergeCell ref="C23:F23"/>
    <mergeCell ref="C22:F22"/>
    <mergeCell ref="B213:E213"/>
    <mergeCell ref="A69:F69"/>
    <mergeCell ref="A74:E74"/>
    <mergeCell ref="A75:F75"/>
    <mergeCell ref="A111:E111"/>
    <mergeCell ref="A112:F112"/>
    <mergeCell ref="A168:F168"/>
    <mergeCell ref="B166:E166"/>
    <mergeCell ref="A11:F11"/>
    <mergeCell ref="A12:B13"/>
    <mergeCell ref="A30:F30"/>
    <mergeCell ref="A35:E35"/>
    <mergeCell ref="A61:E61"/>
    <mergeCell ref="C21:F21"/>
    <mergeCell ref="C20:F20"/>
    <mergeCell ref="C14:F14"/>
    <mergeCell ref="C19:F19"/>
    <mergeCell ref="C18:F18"/>
    <mergeCell ref="C17:F17"/>
    <mergeCell ref="C16:F16"/>
    <mergeCell ref="C15:F15"/>
    <mergeCell ref="A36:F36"/>
    <mergeCell ref="A245:E245"/>
    <mergeCell ref="A290:B290"/>
    <mergeCell ref="C290:F290"/>
    <mergeCell ref="C283:F283"/>
    <mergeCell ref="C284:F284"/>
    <mergeCell ref="C285:F285"/>
    <mergeCell ref="C286:F286"/>
    <mergeCell ref="C287:F287"/>
    <mergeCell ref="C288:F288"/>
    <mergeCell ref="C289:F289"/>
    <mergeCell ref="C282:F282"/>
    <mergeCell ref="C281:F281"/>
    <mergeCell ref="A279:B280"/>
    <mergeCell ref="C279:F280"/>
    <mergeCell ref="A278:F278"/>
    <mergeCell ref="A273:E273"/>
    <mergeCell ref="A274:E274"/>
    <mergeCell ref="A124:E124"/>
    <mergeCell ref="A125:F125"/>
    <mergeCell ref="A130:E130"/>
    <mergeCell ref="A131:F131"/>
    <mergeCell ref="B163:E163"/>
    <mergeCell ref="A167:E167"/>
    <mergeCell ref="A272:E272"/>
    <mergeCell ref="A246:F246"/>
    <mergeCell ref="A252:E252"/>
    <mergeCell ref="B219:E219"/>
    <mergeCell ref="A220:E220"/>
    <mergeCell ref="A221:F221"/>
    <mergeCell ref="A225:E225"/>
    <mergeCell ref="A244:E244"/>
  </mergeCells>
  <phoneticPr fontId="2" type="noConversion"/>
  <pageMargins left="0.7" right="0.7" top="0.75" bottom="0.75" header="0.3" footer="0.3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RECAP</vt:lpstr>
      <vt:lpstr>RECAP!_Toc209086480</vt:lpstr>
      <vt:lpstr>RECAP!_Toc209086516</vt:lpstr>
      <vt:lpstr>RECAP!_Toc209446675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2026-06-05T15:34:55Z</dcterms:modified>
  <cp:category/>
  <cp:contentStatus/>
</cp:coreProperties>
</file>